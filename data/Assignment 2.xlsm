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8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09" codeName="{176428E6-CC11-C334-683E-B6102A28F97D}"/>
  <workbookPr codeName="ThisWorkbook"/>
  <mc:AlternateContent xmlns:mc="http://schemas.openxmlformats.org/markup-compatibility/2006">
    <mc:Choice Requires="x15">
      <x15ac:absPath xmlns:x15ac="http://schemas.microsoft.com/office/spreadsheetml/2010/11/ac" url="/Users/riya/Desktop/"/>
    </mc:Choice>
  </mc:AlternateContent>
  <xr:revisionPtr revIDLastSave="0" documentId="13_ncr:1_{5E96AE62-88E7-F148-BC87-A35C1A087D77}" xr6:coauthVersionLast="47" xr6:coauthVersionMax="47" xr10:uidLastSave="{00000000-0000-0000-0000-000000000000}"/>
  <bookViews>
    <workbookView xWindow="7260" yWindow="1940" windowWidth="24600" windowHeight="17360" activeTab="4" xr2:uid="{00000000-000D-0000-FFFF-FFFF00000000}"/>
  </bookViews>
  <sheets>
    <sheet name="Production Holding" sheetId="133" r:id="rId1"/>
    <sheet name="Production Demand" sheetId="127" r:id="rId2"/>
    <sheet name="Inventory" sheetId="137" r:id="rId3"/>
    <sheet name="Data" sheetId="1" r:id="rId4"/>
    <sheet name="Main" sheetId="4" r:id="rId5"/>
    <sheet name="AUX Data" sheetId="136" state="hidden" r:id="rId6"/>
    <sheet name="AUX Report" sheetId="135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" i="1" l="1"/>
  <c r="G5" i="1"/>
  <c r="G6" i="1" s="1"/>
  <c r="G7" i="1" s="1"/>
  <c r="G8" i="1" s="1"/>
  <c r="G9" i="1" s="1"/>
  <c r="G10" i="1" s="1"/>
  <c r="G11" i="1" s="1"/>
  <c r="G12" i="1" s="1"/>
  <c r="G13" i="1" s="1"/>
  <c r="G14" i="1" s="1"/>
  <c r="G15" i="1" s="1"/>
  <c r="G16" i="1" s="1"/>
  <c r="G17" i="1" s="1"/>
  <c r="G18" i="1" s="1"/>
  <c r="G19" i="1" s="1"/>
  <c r="G20" i="1" s="1"/>
  <c r="G21" i="1" s="1"/>
  <c r="G22" i="1" s="1"/>
  <c r="G23" i="1" s="1"/>
  <c r="G24" i="1" s="1"/>
  <c r="G25" i="1" s="1"/>
  <c r="G26" i="1" s="1"/>
  <c r="G27" i="1" s="1"/>
  <c r="G28" i="1" s="1"/>
  <c r="G29" i="1" s="1"/>
  <c r="G30" i="1" s="1"/>
  <c r="G31" i="1" s="1"/>
  <c r="G32" i="1" s="1"/>
  <c r="G33" i="1" s="1"/>
  <c r="G34" i="1" s="1"/>
  <c r="G35" i="1" s="1"/>
  <c r="G36" i="1" s="1"/>
  <c r="G37" i="1" s="1"/>
  <c r="G38" i="1" s="1"/>
  <c r="G39" i="1" s="1"/>
  <c r="G40" i="1" s="1"/>
  <c r="G41" i="1" s="1"/>
  <c r="G42" i="1" s="1"/>
  <c r="G43" i="1" s="1"/>
  <c r="G44" i="1" s="1"/>
  <c r="G45" i="1" s="1"/>
  <c r="G46" i="1" s="1"/>
  <c r="G47" i="1" s="1"/>
  <c r="G48" i="1" s="1"/>
  <c r="G49" i="1" s="1"/>
  <c r="G50" i="1" s="1"/>
  <c r="G51" i="1" s="1"/>
  <c r="G52" i="1" s="1"/>
  <c r="G53" i="1" s="1"/>
  <c r="G54" i="1" s="1"/>
  <c r="G55" i="1" s="1"/>
  <c r="G56" i="1" s="1"/>
  <c r="G57" i="1" s="1"/>
  <c r="G3" i="1"/>
  <c r="G2" i="1"/>
</calcChain>
</file>

<file path=xl/sharedStrings.xml><?xml version="1.0" encoding="utf-8"?>
<sst xmlns="http://schemas.openxmlformats.org/spreadsheetml/2006/main" count="29" uniqueCount="21">
  <si>
    <t>Inventory</t>
  </si>
  <si>
    <t>Date</t>
  </si>
  <si>
    <t>Demand</t>
  </si>
  <si>
    <t>Production Cost</t>
  </si>
  <si>
    <t>Holding Cost</t>
  </si>
  <si>
    <t>Production Cap</t>
  </si>
  <si>
    <t>Production Units</t>
  </si>
  <si>
    <t>Demand (Forecast)</t>
  </si>
  <si>
    <t>Production Units (Planned)</t>
  </si>
  <si>
    <t>Inventory (Projected)</t>
  </si>
  <si>
    <t>March 7th 2024, 10:42PM</t>
  </si>
  <si>
    <t>Dear Production Planning Team</t>
  </si>
  <si>
    <t>Based on the optimized production plan, the following are the optimized schedule as well as the  projected production and holding costs for the three-month planning horizon.</t>
  </si>
  <si>
    <t>Schedule</t>
  </si>
  <si>
    <t>Inventory Cost</t>
  </si>
  <si>
    <t>Total Cost</t>
  </si>
  <si>
    <t>Figure below illustrates the historical and planned production units along with the historical and forecasted demand.</t>
  </si>
  <si>
    <t xml:space="preserve">This figure also illustrates the historical inventory levels and the projected inventory levels based on the production plan above. </t>
  </si>
  <si>
    <t>If you have any questions or comments regarding the report, feel free to reach at baidy001@csusm.edu</t>
  </si>
  <si>
    <t>Regards,</t>
  </si>
  <si>
    <t>Riyasha Baidya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</si>
</sst>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\-yy;@"/>
    <numFmt numFmtId="165" formatCode="&quot;$&quot;#,##0.00"/>
  </numFmts>
  <fonts count="11"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4"/>
      <color rgb="FF000000"/>
      <name val="Adelle Sans Devanagari"/>
      <family val="2"/>
    </font>
    <font>
      <i/>
      <sz val="12"/>
      <color rgb="FF000000"/>
      <name val="Times New Roman"/>
      <family val="1"/>
    </font>
    <font>
      <sz val="12"/>
      <color rgb="FF000000"/>
      <name val="ArialMT"/>
    </font>
    <font>
      <sz val="12"/>
      <color rgb="FF000000"/>
      <name val="CourierNewPSMT"/>
    </font>
    <font>
      <b/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2" fillId="2" borderId="0" xfId="0" applyFont="1" applyFill="1"/>
    <xf numFmtId="164" fontId="0" fillId="0" borderId="0" xfId="0" applyNumberFormat="1"/>
    <xf numFmtId="164" fontId="1" fillId="0" borderId="0" xfId="0" applyNumberFormat="1" applyFont="1"/>
    <xf numFmtId="0" fontId="0" fillId="2" borderId="0" xfId="0" applyFill="1"/>
    <xf numFmtId="164" fontId="0" fillId="2" borderId="0" xfId="0" applyNumberFormat="1" applyFill="1"/>
    <xf numFmtId="164" fontId="1" fillId="2" borderId="0" xfId="0" applyNumberFormat="1" applyFont="1" applyFill="1"/>
    <xf numFmtId="0" fontId="5" fillId="2" borderId="0" xfId="0" applyFont="1" applyFill="1"/>
    <xf numFmtId="0" fontId="3" fillId="2" borderId="0" xfId="0" applyFont="1" applyFill="1" applyAlignment="1">
      <alignment vertical="center"/>
    </xf>
    <xf numFmtId="0" fontId="6" fillId="2" borderId="0" xfId="0" applyFont="1" applyFill="1"/>
    <xf numFmtId="0" fontId="3" fillId="2" borderId="0" xfId="0" applyFont="1" applyFill="1" applyAlignment="1">
      <alignment horizontal="left" vertical="center" indent="12"/>
    </xf>
    <xf numFmtId="0" fontId="4" fillId="2" borderId="0" xfId="0" applyFont="1" applyFill="1" applyAlignment="1">
      <alignment vertical="center"/>
    </xf>
    <xf numFmtId="0" fontId="7" fillId="2" borderId="0" xfId="0" applyFont="1" applyFill="1"/>
    <xf numFmtId="165" fontId="7" fillId="2" borderId="0" xfId="0" applyNumberFormat="1" applyFont="1" applyFill="1"/>
    <xf numFmtId="0" fontId="0" fillId="3" borderId="0" xfId="0" applyFill="1"/>
    <xf numFmtId="0" fontId="7" fillId="3" borderId="0" xfId="0" applyFont="1" applyFill="1"/>
    <xf numFmtId="0" fontId="8" fillId="4" borderId="0" xfId="0" applyFont="1" applyFill="1"/>
    <xf numFmtId="165" fontId="8" fillId="4" borderId="0" xfId="0" applyNumberFormat="1" applyFont="1" applyFill="1"/>
    <xf numFmtId="165" fontId="9" fillId="4" borderId="0" xfId="0" applyNumberFormat="1" applyFont="1" applyFill="1"/>
    <xf numFmtId="0" fontId="0" fillId="5" borderId="0" xfId="0" applyFill="1"/>
    <xf numFmtId="165" fontId="0" fillId="5" borderId="0" xfId="0" applyNumberFormat="1" applyFill="1"/>
    <xf numFmtId="165" fontId="7" fillId="5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D24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3.xml"/><Relationship Id="rId7" Type="http://schemas.openxmlformats.org/officeDocument/2006/relationships/worksheet" Target="worksheets/sheet4.xml"/><Relationship Id="rId12" Type="http://schemas.microsoft.com/office/2006/relationships/vbaProject" Target="vbaProject.bin"/><Relationship Id="rId2" Type="http://schemas.openxmlformats.org/officeDocument/2006/relationships/chartsheet" Target="chartsheets/sheet2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3.xml"/><Relationship Id="rId11" Type="http://schemas.openxmlformats.org/officeDocument/2006/relationships/calcChain" Target="calcChain.xml"/><Relationship Id="rId5" Type="http://schemas.openxmlformats.org/officeDocument/2006/relationships/worksheet" Target="worksheets/sheet2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Holding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Data!$C$1</c:f>
              <c:strCache>
                <c:ptCount val="1"/>
                <c:pt idx="0">
                  <c:v>Production Cost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Data!$A$2:$A$51</c:f>
              <c:numCache>
                <c:formatCode>[$-409]mmm\-yy;@</c:formatCode>
                <c:ptCount val="50"/>
                <c:pt idx="0">
                  <c:v>43831</c:v>
                </c:pt>
                <c:pt idx="1">
                  <c:v>43862</c:v>
                </c:pt>
                <c:pt idx="2">
                  <c:v>43891</c:v>
                </c:pt>
                <c:pt idx="3">
                  <c:v>43922</c:v>
                </c:pt>
                <c:pt idx="4">
                  <c:v>43952</c:v>
                </c:pt>
                <c:pt idx="5">
                  <c:v>43983</c:v>
                </c:pt>
                <c:pt idx="6">
                  <c:v>44013</c:v>
                </c:pt>
                <c:pt idx="7">
                  <c:v>44044</c:v>
                </c:pt>
                <c:pt idx="8">
                  <c:v>44075</c:v>
                </c:pt>
                <c:pt idx="9">
                  <c:v>44105</c:v>
                </c:pt>
                <c:pt idx="10">
                  <c:v>44136</c:v>
                </c:pt>
                <c:pt idx="11">
                  <c:v>44166</c:v>
                </c:pt>
                <c:pt idx="12">
                  <c:v>44197</c:v>
                </c:pt>
                <c:pt idx="13">
                  <c:v>44228</c:v>
                </c:pt>
                <c:pt idx="14">
                  <c:v>44256</c:v>
                </c:pt>
                <c:pt idx="15">
                  <c:v>44287</c:v>
                </c:pt>
                <c:pt idx="16">
                  <c:v>44317</c:v>
                </c:pt>
                <c:pt idx="17">
                  <c:v>44348</c:v>
                </c:pt>
                <c:pt idx="18">
                  <c:v>44378</c:v>
                </c:pt>
                <c:pt idx="19">
                  <c:v>44409</c:v>
                </c:pt>
                <c:pt idx="20">
                  <c:v>44440</c:v>
                </c:pt>
                <c:pt idx="21">
                  <c:v>44470</c:v>
                </c:pt>
                <c:pt idx="22">
                  <c:v>44501</c:v>
                </c:pt>
                <c:pt idx="23">
                  <c:v>44531</c:v>
                </c:pt>
                <c:pt idx="24">
                  <c:v>44562</c:v>
                </c:pt>
                <c:pt idx="25">
                  <c:v>44593</c:v>
                </c:pt>
                <c:pt idx="26">
                  <c:v>44621</c:v>
                </c:pt>
                <c:pt idx="27">
                  <c:v>44652</c:v>
                </c:pt>
                <c:pt idx="28">
                  <c:v>44682</c:v>
                </c:pt>
                <c:pt idx="29">
                  <c:v>44713</c:v>
                </c:pt>
                <c:pt idx="30">
                  <c:v>44743</c:v>
                </c:pt>
                <c:pt idx="31">
                  <c:v>44774</c:v>
                </c:pt>
                <c:pt idx="32">
                  <c:v>44805</c:v>
                </c:pt>
                <c:pt idx="33">
                  <c:v>44835</c:v>
                </c:pt>
                <c:pt idx="34">
                  <c:v>44866</c:v>
                </c:pt>
                <c:pt idx="35">
                  <c:v>44896</c:v>
                </c:pt>
                <c:pt idx="36">
                  <c:v>44927</c:v>
                </c:pt>
                <c:pt idx="37">
                  <c:v>44958</c:v>
                </c:pt>
                <c:pt idx="38">
                  <c:v>44986</c:v>
                </c:pt>
                <c:pt idx="39">
                  <c:v>45017</c:v>
                </c:pt>
                <c:pt idx="40">
                  <c:v>45047</c:v>
                </c:pt>
                <c:pt idx="41">
                  <c:v>45078</c:v>
                </c:pt>
                <c:pt idx="42">
                  <c:v>45108</c:v>
                </c:pt>
                <c:pt idx="43">
                  <c:v>45139</c:v>
                </c:pt>
                <c:pt idx="44">
                  <c:v>45170</c:v>
                </c:pt>
                <c:pt idx="45">
                  <c:v>45200</c:v>
                </c:pt>
                <c:pt idx="46">
                  <c:v>45231</c:v>
                </c:pt>
                <c:pt idx="47">
                  <c:v>45261</c:v>
                </c:pt>
                <c:pt idx="48">
                  <c:v>45292</c:v>
                </c:pt>
                <c:pt idx="49">
                  <c:v>45323</c:v>
                </c:pt>
              </c:numCache>
            </c:numRef>
          </c:cat>
          <c:val>
            <c:numRef>
              <c:f>Data!$C$2:$C$51</c:f>
              <c:numCache>
                <c:formatCode>General</c:formatCode>
                <c:ptCount val="50"/>
                <c:pt idx="0">
                  <c:v>5.41</c:v>
                </c:pt>
                <c:pt idx="1">
                  <c:v>5.68</c:v>
                </c:pt>
                <c:pt idx="2">
                  <c:v>5.82</c:v>
                </c:pt>
                <c:pt idx="3">
                  <c:v>5.66</c:v>
                </c:pt>
                <c:pt idx="4">
                  <c:v>5.76</c:v>
                </c:pt>
                <c:pt idx="5">
                  <c:v>5.41</c:v>
                </c:pt>
                <c:pt idx="6">
                  <c:v>5.93</c:v>
                </c:pt>
                <c:pt idx="7">
                  <c:v>5.8</c:v>
                </c:pt>
                <c:pt idx="8">
                  <c:v>5.18</c:v>
                </c:pt>
                <c:pt idx="9">
                  <c:v>5.61</c:v>
                </c:pt>
                <c:pt idx="10">
                  <c:v>5.57</c:v>
                </c:pt>
                <c:pt idx="11">
                  <c:v>5.67</c:v>
                </c:pt>
                <c:pt idx="12">
                  <c:v>5.33</c:v>
                </c:pt>
                <c:pt idx="13">
                  <c:v>5.49</c:v>
                </c:pt>
                <c:pt idx="14">
                  <c:v>5.39</c:v>
                </c:pt>
                <c:pt idx="15">
                  <c:v>5.46</c:v>
                </c:pt>
                <c:pt idx="16">
                  <c:v>5.12</c:v>
                </c:pt>
                <c:pt idx="17">
                  <c:v>5.58</c:v>
                </c:pt>
                <c:pt idx="18">
                  <c:v>5.84</c:v>
                </c:pt>
                <c:pt idx="19">
                  <c:v>5.55</c:v>
                </c:pt>
                <c:pt idx="20">
                  <c:v>5.09</c:v>
                </c:pt>
                <c:pt idx="21">
                  <c:v>5.35</c:v>
                </c:pt>
                <c:pt idx="22">
                  <c:v>5.43</c:v>
                </c:pt>
                <c:pt idx="23">
                  <c:v>5.82</c:v>
                </c:pt>
                <c:pt idx="24">
                  <c:v>5.26</c:v>
                </c:pt>
                <c:pt idx="25">
                  <c:v>5.42</c:v>
                </c:pt>
                <c:pt idx="26">
                  <c:v>5.13</c:v>
                </c:pt>
                <c:pt idx="27">
                  <c:v>5.54</c:v>
                </c:pt>
                <c:pt idx="28">
                  <c:v>5.66</c:v>
                </c:pt>
                <c:pt idx="29">
                  <c:v>5.44</c:v>
                </c:pt>
                <c:pt idx="30">
                  <c:v>5.81</c:v>
                </c:pt>
                <c:pt idx="31">
                  <c:v>5.36</c:v>
                </c:pt>
                <c:pt idx="32">
                  <c:v>5.76</c:v>
                </c:pt>
                <c:pt idx="33">
                  <c:v>5.42</c:v>
                </c:pt>
                <c:pt idx="34">
                  <c:v>5.35</c:v>
                </c:pt>
                <c:pt idx="35">
                  <c:v>5.93</c:v>
                </c:pt>
                <c:pt idx="36">
                  <c:v>5.68</c:v>
                </c:pt>
                <c:pt idx="37">
                  <c:v>5.42</c:v>
                </c:pt>
                <c:pt idx="38">
                  <c:v>5.43</c:v>
                </c:pt>
                <c:pt idx="39">
                  <c:v>5.56</c:v>
                </c:pt>
                <c:pt idx="40">
                  <c:v>5.09</c:v>
                </c:pt>
                <c:pt idx="41">
                  <c:v>5.22</c:v>
                </c:pt>
                <c:pt idx="42">
                  <c:v>5.33</c:v>
                </c:pt>
                <c:pt idx="43">
                  <c:v>5.12</c:v>
                </c:pt>
                <c:pt idx="44">
                  <c:v>5.26</c:v>
                </c:pt>
                <c:pt idx="45">
                  <c:v>5.07</c:v>
                </c:pt>
                <c:pt idx="46">
                  <c:v>5.75</c:v>
                </c:pt>
                <c:pt idx="47">
                  <c:v>5.47</c:v>
                </c:pt>
                <c:pt idx="48">
                  <c:v>5.46</c:v>
                </c:pt>
                <c:pt idx="49">
                  <c:v>5.62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1E-9E44-86E4-5CC8BB776280}"/>
            </c:ext>
          </c:extLst>
        </c:ser>
        <c:ser>
          <c:idx val="1"/>
          <c:order val="1"/>
          <c:tx>
            <c:strRef>
              <c:f>Data!$D$1</c:f>
              <c:strCache>
                <c:ptCount val="1"/>
                <c:pt idx="0">
                  <c:v>Holding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Data!$A$2:$A$51</c:f>
              <c:numCache>
                <c:formatCode>[$-409]mmm\-yy;@</c:formatCode>
                <c:ptCount val="50"/>
                <c:pt idx="0">
                  <c:v>43831</c:v>
                </c:pt>
                <c:pt idx="1">
                  <c:v>43862</c:v>
                </c:pt>
                <c:pt idx="2">
                  <c:v>43891</c:v>
                </c:pt>
                <c:pt idx="3">
                  <c:v>43922</c:v>
                </c:pt>
                <c:pt idx="4">
                  <c:v>43952</c:v>
                </c:pt>
                <c:pt idx="5">
                  <c:v>43983</c:v>
                </c:pt>
                <c:pt idx="6">
                  <c:v>44013</c:v>
                </c:pt>
                <c:pt idx="7">
                  <c:v>44044</c:v>
                </c:pt>
                <c:pt idx="8">
                  <c:v>44075</c:v>
                </c:pt>
                <c:pt idx="9">
                  <c:v>44105</c:v>
                </c:pt>
                <c:pt idx="10">
                  <c:v>44136</c:v>
                </c:pt>
                <c:pt idx="11">
                  <c:v>44166</c:v>
                </c:pt>
                <c:pt idx="12">
                  <c:v>44197</c:v>
                </c:pt>
                <c:pt idx="13">
                  <c:v>44228</c:v>
                </c:pt>
                <c:pt idx="14">
                  <c:v>44256</c:v>
                </c:pt>
                <c:pt idx="15">
                  <c:v>44287</c:v>
                </c:pt>
                <c:pt idx="16">
                  <c:v>44317</c:v>
                </c:pt>
                <c:pt idx="17">
                  <c:v>44348</c:v>
                </c:pt>
                <c:pt idx="18">
                  <c:v>44378</c:v>
                </c:pt>
                <c:pt idx="19">
                  <c:v>44409</c:v>
                </c:pt>
                <c:pt idx="20">
                  <c:v>44440</c:v>
                </c:pt>
                <c:pt idx="21">
                  <c:v>44470</c:v>
                </c:pt>
                <c:pt idx="22">
                  <c:v>44501</c:v>
                </c:pt>
                <c:pt idx="23">
                  <c:v>44531</c:v>
                </c:pt>
                <c:pt idx="24">
                  <c:v>44562</c:v>
                </c:pt>
                <c:pt idx="25">
                  <c:v>44593</c:v>
                </c:pt>
                <c:pt idx="26">
                  <c:v>44621</c:v>
                </c:pt>
                <c:pt idx="27">
                  <c:v>44652</c:v>
                </c:pt>
                <c:pt idx="28">
                  <c:v>44682</c:v>
                </c:pt>
                <c:pt idx="29">
                  <c:v>44713</c:v>
                </c:pt>
                <c:pt idx="30">
                  <c:v>44743</c:v>
                </c:pt>
                <c:pt idx="31">
                  <c:v>44774</c:v>
                </c:pt>
                <c:pt idx="32">
                  <c:v>44805</c:v>
                </c:pt>
                <c:pt idx="33">
                  <c:v>44835</c:v>
                </c:pt>
                <c:pt idx="34">
                  <c:v>44866</c:v>
                </c:pt>
                <c:pt idx="35">
                  <c:v>44896</c:v>
                </c:pt>
                <c:pt idx="36">
                  <c:v>44927</c:v>
                </c:pt>
                <c:pt idx="37">
                  <c:v>44958</c:v>
                </c:pt>
                <c:pt idx="38">
                  <c:v>44986</c:v>
                </c:pt>
                <c:pt idx="39">
                  <c:v>45017</c:v>
                </c:pt>
                <c:pt idx="40">
                  <c:v>45047</c:v>
                </c:pt>
                <c:pt idx="41">
                  <c:v>45078</c:v>
                </c:pt>
                <c:pt idx="42">
                  <c:v>45108</c:v>
                </c:pt>
                <c:pt idx="43">
                  <c:v>45139</c:v>
                </c:pt>
                <c:pt idx="44">
                  <c:v>45170</c:v>
                </c:pt>
                <c:pt idx="45">
                  <c:v>45200</c:v>
                </c:pt>
                <c:pt idx="46">
                  <c:v>45231</c:v>
                </c:pt>
                <c:pt idx="47">
                  <c:v>45261</c:v>
                </c:pt>
                <c:pt idx="48">
                  <c:v>45292</c:v>
                </c:pt>
                <c:pt idx="49">
                  <c:v>45323</c:v>
                </c:pt>
              </c:numCache>
            </c:numRef>
          </c:cat>
          <c:val>
            <c:numRef>
              <c:f>Data!$D$2:$D$51</c:f>
              <c:numCache>
                <c:formatCode>General</c:formatCode>
                <c:ptCount val="50"/>
                <c:pt idx="0">
                  <c:v>4.79</c:v>
                </c:pt>
                <c:pt idx="1">
                  <c:v>4.7</c:v>
                </c:pt>
                <c:pt idx="2">
                  <c:v>4.09</c:v>
                </c:pt>
                <c:pt idx="3">
                  <c:v>4.37</c:v>
                </c:pt>
                <c:pt idx="4">
                  <c:v>4.41</c:v>
                </c:pt>
                <c:pt idx="5">
                  <c:v>4.34</c:v>
                </c:pt>
                <c:pt idx="6">
                  <c:v>4.16</c:v>
                </c:pt>
                <c:pt idx="7">
                  <c:v>4</c:v>
                </c:pt>
                <c:pt idx="8">
                  <c:v>4.4800000000000004</c:v>
                </c:pt>
                <c:pt idx="9">
                  <c:v>4.68</c:v>
                </c:pt>
                <c:pt idx="10">
                  <c:v>4.75</c:v>
                </c:pt>
                <c:pt idx="11">
                  <c:v>4.4800000000000004</c:v>
                </c:pt>
                <c:pt idx="12">
                  <c:v>4.53</c:v>
                </c:pt>
                <c:pt idx="13">
                  <c:v>4.59</c:v>
                </c:pt>
                <c:pt idx="14">
                  <c:v>4.82</c:v>
                </c:pt>
                <c:pt idx="15">
                  <c:v>4.17</c:v>
                </c:pt>
                <c:pt idx="16">
                  <c:v>4.49</c:v>
                </c:pt>
                <c:pt idx="17">
                  <c:v>4.59</c:v>
                </c:pt>
                <c:pt idx="18">
                  <c:v>4.5999999999999996</c:v>
                </c:pt>
                <c:pt idx="19">
                  <c:v>4.66</c:v>
                </c:pt>
                <c:pt idx="20">
                  <c:v>4.68</c:v>
                </c:pt>
                <c:pt idx="21">
                  <c:v>4.1900000000000004</c:v>
                </c:pt>
                <c:pt idx="22">
                  <c:v>4.3099999999999996</c:v>
                </c:pt>
                <c:pt idx="23">
                  <c:v>4.46</c:v>
                </c:pt>
                <c:pt idx="24">
                  <c:v>4.76</c:v>
                </c:pt>
                <c:pt idx="25">
                  <c:v>4.46</c:v>
                </c:pt>
                <c:pt idx="26">
                  <c:v>4.7300000000000004</c:v>
                </c:pt>
                <c:pt idx="27">
                  <c:v>4.32</c:v>
                </c:pt>
                <c:pt idx="28">
                  <c:v>4.6500000000000004</c:v>
                </c:pt>
                <c:pt idx="29">
                  <c:v>4.41</c:v>
                </c:pt>
                <c:pt idx="30">
                  <c:v>4.8099999999999996</c:v>
                </c:pt>
                <c:pt idx="31">
                  <c:v>4.08</c:v>
                </c:pt>
                <c:pt idx="32">
                  <c:v>4.68</c:v>
                </c:pt>
                <c:pt idx="33">
                  <c:v>4.6900000000000004</c:v>
                </c:pt>
                <c:pt idx="34">
                  <c:v>4.93</c:v>
                </c:pt>
                <c:pt idx="35">
                  <c:v>4.83</c:v>
                </c:pt>
                <c:pt idx="36">
                  <c:v>4.6399999999999997</c:v>
                </c:pt>
                <c:pt idx="37">
                  <c:v>4.9000000000000004</c:v>
                </c:pt>
                <c:pt idx="38">
                  <c:v>4.7300000000000004</c:v>
                </c:pt>
                <c:pt idx="39">
                  <c:v>4.8</c:v>
                </c:pt>
                <c:pt idx="40">
                  <c:v>4.2699999999999996</c:v>
                </c:pt>
                <c:pt idx="41">
                  <c:v>4.83</c:v>
                </c:pt>
                <c:pt idx="42">
                  <c:v>4.0999999999999996</c:v>
                </c:pt>
                <c:pt idx="43">
                  <c:v>4.29</c:v>
                </c:pt>
                <c:pt idx="44">
                  <c:v>4.18</c:v>
                </c:pt>
                <c:pt idx="45">
                  <c:v>4.47</c:v>
                </c:pt>
                <c:pt idx="46">
                  <c:v>4.79</c:v>
                </c:pt>
                <c:pt idx="47">
                  <c:v>4.93</c:v>
                </c:pt>
                <c:pt idx="48">
                  <c:v>4.79</c:v>
                </c:pt>
                <c:pt idx="49">
                  <c:v>4.6100000000000003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1E-9E44-86E4-5CC8BB776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1590880"/>
        <c:axId val="1181326112"/>
      </c:lineChart>
      <c:dateAx>
        <c:axId val="1181590880"/>
        <c:scaling>
          <c:orientation val="minMax"/>
        </c:scaling>
        <c:delete val="0"/>
        <c:axPos val="b"/>
        <c:numFmt formatCode="[$-409]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1326112"/>
        <c:crosses val="autoZero"/>
        <c:auto val="1"/>
        <c:lblOffset val="100"/>
        <c:baseTimeUnit val="months"/>
      </c:dateAx>
      <c:valAx>
        <c:axId val="1181326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1590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Data!$B$1</c:f>
              <c:strCache>
                <c:ptCount val="1"/>
                <c:pt idx="0">
                  <c:v>Demand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Data!$A$2:$A$51</c:f>
              <c:numCache>
                <c:formatCode>[$-409]mmm\-yy;@</c:formatCode>
                <c:ptCount val="50"/>
                <c:pt idx="0">
                  <c:v>43831</c:v>
                </c:pt>
                <c:pt idx="1">
                  <c:v>43862</c:v>
                </c:pt>
                <c:pt idx="2">
                  <c:v>43891</c:v>
                </c:pt>
                <c:pt idx="3">
                  <c:v>43922</c:v>
                </c:pt>
                <c:pt idx="4">
                  <c:v>43952</c:v>
                </c:pt>
                <c:pt idx="5">
                  <c:v>43983</c:v>
                </c:pt>
                <c:pt idx="6">
                  <c:v>44013</c:v>
                </c:pt>
                <c:pt idx="7">
                  <c:v>44044</c:v>
                </c:pt>
                <c:pt idx="8">
                  <c:v>44075</c:v>
                </c:pt>
                <c:pt idx="9">
                  <c:v>44105</c:v>
                </c:pt>
                <c:pt idx="10">
                  <c:v>44136</c:v>
                </c:pt>
                <c:pt idx="11">
                  <c:v>44166</c:v>
                </c:pt>
                <c:pt idx="12">
                  <c:v>44197</c:v>
                </c:pt>
                <c:pt idx="13">
                  <c:v>44228</c:v>
                </c:pt>
                <c:pt idx="14">
                  <c:v>44256</c:v>
                </c:pt>
                <c:pt idx="15">
                  <c:v>44287</c:v>
                </c:pt>
                <c:pt idx="16">
                  <c:v>44317</c:v>
                </c:pt>
                <c:pt idx="17">
                  <c:v>44348</c:v>
                </c:pt>
                <c:pt idx="18">
                  <c:v>44378</c:v>
                </c:pt>
                <c:pt idx="19">
                  <c:v>44409</c:v>
                </c:pt>
                <c:pt idx="20">
                  <c:v>44440</c:v>
                </c:pt>
                <c:pt idx="21">
                  <c:v>44470</c:v>
                </c:pt>
                <c:pt idx="22">
                  <c:v>44501</c:v>
                </c:pt>
                <c:pt idx="23">
                  <c:v>44531</c:v>
                </c:pt>
                <c:pt idx="24">
                  <c:v>44562</c:v>
                </c:pt>
                <c:pt idx="25">
                  <c:v>44593</c:v>
                </c:pt>
                <c:pt idx="26">
                  <c:v>44621</c:v>
                </c:pt>
                <c:pt idx="27">
                  <c:v>44652</c:v>
                </c:pt>
                <c:pt idx="28">
                  <c:v>44682</c:v>
                </c:pt>
                <c:pt idx="29">
                  <c:v>44713</c:v>
                </c:pt>
                <c:pt idx="30">
                  <c:v>44743</c:v>
                </c:pt>
                <c:pt idx="31">
                  <c:v>44774</c:v>
                </c:pt>
                <c:pt idx="32">
                  <c:v>44805</c:v>
                </c:pt>
                <c:pt idx="33">
                  <c:v>44835</c:v>
                </c:pt>
                <c:pt idx="34">
                  <c:v>44866</c:v>
                </c:pt>
                <c:pt idx="35">
                  <c:v>44896</c:v>
                </c:pt>
                <c:pt idx="36">
                  <c:v>44927</c:v>
                </c:pt>
                <c:pt idx="37">
                  <c:v>44958</c:v>
                </c:pt>
                <c:pt idx="38">
                  <c:v>44986</c:v>
                </c:pt>
                <c:pt idx="39">
                  <c:v>45017</c:v>
                </c:pt>
                <c:pt idx="40">
                  <c:v>45047</c:v>
                </c:pt>
                <c:pt idx="41">
                  <c:v>45078</c:v>
                </c:pt>
                <c:pt idx="42">
                  <c:v>45108</c:v>
                </c:pt>
                <c:pt idx="43">
                  <c:v>45139</c:v>
                </c:pt>
                <c:pt idx="44">
                  <c:v>45170</c:v>
                </c:pt>
                <c:pt idx="45">
                  <c:v>45200</c:v>
                </c:pt>
                <c:pt idx="46">
                  <c:v>45231</c:v>
                </c:pt>
                <c:pt idx="47">
                  <c:v>45261</c:v>
                </c:pt>
                <c:pt idx="48">
                  <c:v>45292</c:v>
                </c:pt>
                <c:pt idx="49">
                  <c:v>45323</c:v>
                </c:pt>
              </c:numCache>
            </c:numRef>
          </c:cat>
          <c:val>
            <c:numRef>
              <c:f>Data!$B$2:$B$51</c:f>
              <c:numCache>
                <c:formatCode>General</c:formatCode>
                <c:ptCount val="50"/>
                <c:pt idx="0">
                  <c:v>13.04</c:v>
                </c:pt>
                <c:pt idx="1">
                  <c:v>11.9</c:v>
                </c:pt>
                <c:pt idx="2">
                  <c:v>9.74</c:v>
                </c:pt>
                <c:pt idx="3">
                  <c:v>13.6</c:v>
                </c:pt>
                <c:pt idx="4">
                  <c:v>16.39</c:v>
                </c:pt>
                <c:pt idx="5">
                  <c:v>10.78</c:v>
                </c:pt>
                <c:pt idx="6">
                  <c:v>13.64</c:v>
                </c:pt>
                <c:pt idx="7">
                  <c:v>12.49</c:v>
                </c:pt>
                <c:pt idx="8">
                  <c:v>16.8</c:v>
                </c:pt>
                <c:pt idx="9">
                  <c:v>15.42</c:v>
                </c:pt>
                <c:pt idx="10">
                  <c:v>17.579999999999998</c:v>
                </c:pt>
                <c:pt idx="11">
                  <c:v>13.22</c:v>
                </c:pt>
                <c:pt idx="12">
                  <c:v>13.96</c:v>
                </c:pt>
                <c:pt idx="13">
                  <c:v>15.98</c:v>
                </c:pt>
                <c:pt idx="14">
                  <c:v>18.3</c:v>
                </c:pt>
                <c:pt idx="15">
                  <c:v>15.12</c:v>
                </c:pt>
                <c:pt idx="16">
                  <c:v>19.47</c:v>
                </c:pt>
                <c:pt idx="17">
                  <c:v>17.66</c:v>
                </c:pt>
                <c:pt idx="18">
                  <c:v>23.1</c:v>
                </c:pt>
                <c:pt idx="19">
                  <c:v>22.99</c:v>
                </c:pt>
                <c:pt idx="20">
                  <c:v>20.72</c:v>
                </c:pt>
                <c:pt idx="21">
                  <c:v>20.57</c:v>
                </c:pt>
                <c:pt idx="22">
                  <c:v>18.899999999999999</c:v>
                </c:pt>
                <c:pt idx="23">
                  <c:v>23.86</c:v>
                </c:pt>
                <c:pt idx="24">
                  <c:v>25.61</c:v>
                </c:pt>
                <c:pt idx="25">
                  <c:v>22.84</c:v>
                </c:pt>
                <c:pt idx="26">
                  <c:v>18.190000000000001</c:v>
                </c:pt>
                <c:pt idx="27">
                  <c:v>23.18</c:v>
                </c:pt>
                <c:pt idx="28">
                  <c:v>26.39</c:v>
                </c:pt>
                <c:pt idx="29">
                  <c:v>29.54</c:v>
                </c:pt>
                <c:pt idx="30">
                  <c:v>26.59</c:v>
                </c:pt>
                <c:pt idx="31">
                  <c:v>21.05</c:v>
                </c:pt>
                <c:pt idx="32">
                  <c:v>26.66</c:v>
                </c:pt>
                <c:pt idx="33">
                  <c:v>29.28</c:v>
                </c:pt>
                <c:pt idx="34">
                  <c:v>27.41</c:v>
                </c:pt>
                <c:pt idx="35">
                  <c:v>27.43</c:v>
                </c:pt>
                <c:pt idx="36">
                  <c:v>26.77</c:v>
                </c:pt>
                <c:pt idx="37">
                  <c:v>28.34</c:v>
                </c:pt>
                <c:pt idx="38">
                  <c:v>34.33</c:v>
                </c:pt>
                <c:pt idx="39">
                  <c:v>34.1</c:v>
                </c:pt>
                <c:pt idx="40">
                  <c:v>31.75</c:v>
                </c:pt>
                <c:pt idx="41">
                  <c:v>28.08</c:v>
                </c:pt>
                <c:pt idx="42">
                  <c:v>27.98</c:v>
                </c:pt>
                <c:pt idx="43">
                  <c:v>33.61</c:v>
                </c:pt>
                <c:pt idx="44">
                  <c:v>37</c:v>
                </c:pt>
                <c:pt idx="45">
                  <c:v>30.13</c:v>
                </c:pt>
                <c:pt idx="46">
                  <c:v>30.01</c:v>
                </c:pt>
                <c:pt idx="47">
                  <c:v>33.06</c:v>
                </c:pt>
                <c:pt idx="48">
                  <c:v>38.96</c:v>
                </c:pt>
                <c:pt idx="49">
                  <c:v>39.94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91-B444-A93C-753F4DB3307E}"/>
            </c:ext>
          </c:extLst>
        </c:ser>
        <c:ser>
          <c:idx val="1"/>
          <c:order val="1"/>
          <c:tx>
            <c:strRef>
              <c:f>Data!$F$1</c:f>
              <c:strCache>
                <c:ptCount val="1"/>
                <c:pt idx="0">
                  <c:v>Production Units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Data!$A$2:$A$51</c:f>
              <c:numCache>
                <c:formatCode>[$-409]mmm\-yy;@</c:formatCode>
                <c:ptCount val="50"/>
                <c:pt idx="0">
                  <c:v>43831</c:v>
                </c:pt>
                <c:pt idx="1">
                  <c:v>43862</c:v>
                </c:pt>
                <c:pt idx="2">
                  <c:v>43891</c:v>
                </c:pt>
                <c:pt idx="3">
                  <c:v>43922</c:v>
                </c:pt>
                <c:pt idx="4">
                  <c:v>43952</c:v>
                </c:pt>
                <c:pt idx="5">
                  <c:v>43983</c:v>
                </c:pt>
                <c:pt idx="6">
                  <c:v>44013</c:v>
                </c:pt>
                <c:pt idx="7">
                  <c:v>44044</c:v>
                </c:pt>
                <c:pt idx="8">
                  <c:v>44075</c:v>
                </c:pt>
                <c:pt idx="9">
                  <c:v>44105</c:v>
                </c:pt>
                <c:pt idx="10">
                  <c:v>44136</c:v>
                </c:pt>
                <c:pt idx="11">
                  <c:v>44166</c:v>
                </c:pt>
                <c:pt idx="12">
                  <c:v>44197</c:v>
                </c:pt>
                <c:pt idx="13">
                  <c:v>44228</c:v>
                </c:pt>
                <c:pt idx="14">
                  <c:v>44256</c:v>
                </c:pt>
                <c:pt idx="15">
                  <c:v>44287</c:v>
                </c:pt>
                <c:pt idx="16">
                  <c:v>44317</c:v>
                </c:pt>
                <c:pt idx="17">
                  <c:v>44348</c:v>
                </c:pt>
                <c:pt idx="18">
                  <c:v>44378</c:v>
                </c:pt>
                <c:pt idx="19">
                  <c:v>44409</c:v>
                </c:pt>
                <c:pt idx="20">
                  <c:v>44440</c:v>
                </c:pt>
                <c:pt idx="21">
                  <c:v>44470</c:v>
                </c:pt>
                <c:pt idx="22">
                  <c:v>44501</c:v>
                </c:pt>
                <c:pt idx="23">
                  <c:v>44531</c:v>
                </c:pt>
                <c:pt idx="24">
                  <c:v>44562</c:v>
                </c:pt>
                <c:pt idx="25">
                  <c:v>44593</c:v>
                </c:pt>
                <c:pt idx="26">
                  <c:v>44621</c:v>
                </c:pt>
                <c:pt idx="27">
                  <c:v>44652</c:v>
                </c:pt>
                <c:pt idx="28">
                  <c:v>44682</c:v>
                </c:pt>
                <c:pt idx="29">
                  <c:v>44713</c:v>
                </c:pt>
                <c:pt idx="30">
                  <c:v>44743</c:v>
                </c:pt>
                <c:pt idx="31">
                  <c:v>44774</c:v>
                </c:pt>
                <c:pt idx="32">
                  <c:v>44805</c:v>
                </c:pt>
                <c:pt idx="33">
                  <c:v>44835</c:v>
                </c:pt>
                <c:pt idx="34">
                  <c:v>44866</c:v>
                </c:pt>
                <c:pt idx="35">
                  <c:v>44896</c:v>
                </c:pt>
                <c:pt idx="36">
                  <c:v>44927</c:v>
                </c:pt>
                <c:pt idx="37">
                  <c:v>44958</c:v>
                </c:pt>
                <c:pt idx="38">
                  <c:v>44986</c:v>
                </c:pt>
                <c:pt idx="39">
                  <c:v>45017</c:v>
                </c:pt>
                <c:pt idx="40">
                  <c:v>45047</c:v>
                </c:pt>
                <c:pt idx="41">
                  <c:v>45078</c:v>
                </c:pt>
                <c:pt idx="42">
                  <c:v>45108</c:v>
                </c:pt>
                <c:pt idx="43">
                  <c:v>45139</c:v>
                </c:pt>
                <c:pt idx="44">
                  <c:v>45170</c:v>
                </c:pt>
                <c:pt idx="45">
                  <c:v>45200</c:v>
                </c:pt>
                <c:pt idx="46">
                  <c:v>45231</c:v>
                </c:pt>
                <c:pt idx="47">
                  <c:v>45261</c:v>
                </c:pt>
                <c:pt idx="48">
                  <c:v>45292</c:v>
                </c:pt>
                <c:pt idx="49">
                  <c:v>45323</c:v>
                </c:pt>
              </c:numCache>
            </c:numRef>
          </c:cat>
          <c:val>
            <c:numRef>
              <c:f>Data!$F$2:$F$51</c:f>
              <c:numCache>
                <c:formatCode>General</c:formatCode>
                <c:ptCount val="50"/>
                <c:pt idx="0">
                  <c:v>16.11</c:v>
                </c:pt>
                <c:pt idx="1">
                  <c:v>9.7200000000000006</c:v>
                </c:pt>
                <c:pt idx="2">
                  <c:v>9.32</c:v>
                </c:pt>
                <c:pt idx="3">
                  <c:v>14.71</c:v>
                </c:pt>
                <c:pt idx="4">
                  <c:v>14.61</c:v>
                </c:pt>
                <c:pt idx="5">
                  <c:v>16.89</c:v>
                </c:pt>
                <c:pt idx="6">
                  <c:v>8.8000000000000007</c:v>
                </c:pt>
                <c:pt idx="7">
                  <c:v>15.36</c:v>
                </c:pt>
                <c:pt idx="8">
                  <c:v>18.059999999999999</c:v>
                </c:pt>
                <c:pt idx="9">
                  <c:v>19.100000000000001</c:v>
                </c:pt>
                <c:pt idx="10">
                  <c:v>16.190000000000001</c:v>
                </c:pt>
                <c:pt idx="11">
                  <c:v>13.75</c:v>
                </c:pt>
                <c:pt idx="12">
                  <c:v>11.5</c:v>
                </c:pt>
                <c:pt idx="13">
                  <c:v>22.87</c:v>
                </c:pt>
                <c:pt idx="14">
                  <c:v>15.27</c:v>
                </c:pt>
                <c:pt idx="15">
                  <c:v>21.57</c:v>
                </c:pt>
                <c:pt idx="16">
                  <c:v>12.82</c:v>
                </c:pt>
                <c:pt idx="17">
                  <c:v>15.09</c:v>
                </c:pt>
                <c:pt idx="18">
                  <c:v>17.79</c:v>
                </c:pt>
                <c:pt idx="19">
                  <c:v>23.44</c:v>
                </c:pt>
                <c:pt idx="20">
                  <c:v>16.690000000000001</c:v>
                </c:pt>
                <c:pt idx="21">
                  <c:v>20.28</c:v>
                </c:pt>
                <c:pt idx="22">
                  <c:v>23.53</c:v>
                </c:pt>
                <c:pt idx="23">
                  <c:v>26.21</c:v>
                </c:pt>
                <c:pt idx="24">
                  <c:v>28.56</c:v>
                </c:pt>
                <c:pt idx="25">
                  <c:v>21.48</c:v>
                </c:pt>
                <c:pt idx="26">
                  <c:v>18.12</c:v>
                </c:pt>
                <c:pt idx="27">
                  <c:v>23.04</c:v>
                </c:pt>
                <c:pt idx="28">
                  <c:v>32.04</c:v>
                </c:pt>
                <c:pt idx="29">
                  <c:v>27.05</c:v>
                </c:pt>
                <c:pt idx="30">
                  <c:v>21.68</c:v>
                </c:pt>
                <c:pt idx="31">
                  <c:v>23.16</c:v>
                </c:pt>
                <c:pt idx="32">
                  <c:v>30.33</c:v>
                </c:pt>
                <c:pt idx="33">
                  <c:v>25.99</c:v>
                </c:pt>
                <c:pt idx="34">
                  <c:v>32.619999999999997</c:v>
                </c:pt>
                <c:pt idx="35">
                  <c:v>28.22</c:v>
                </c:pt>
                <c:pt idx="36">
                  <c:v>29.94</c:v>
                </c:pt>
                <c:pt idx="37">
                  <c:v>31.67</c:v>
                </c:pt>
                <c:pt idx="38">
                  <c:v>31.94</c:v>
                </c:pt>
                <c:pt idx="39">
                  <c:v>34.200000000000003</c:v>
                </c:pt>
                <c:pt idx="40">
                  <c:v>30.43</c:v>
                </c:pt>
                <c:pt idx="41">
                  <c:v>23.4</c:v>
                </c:pt>
                <c:pt idx="42">
                  <c:v>31.51</c:v>
                </c:pt>
                <c:pt idx="43">
                  <c:v>34.479999999999997</c:v>
                </c:pt>
                <c:pt idx="44">
                  <c:v>39.86</c:v>
                </c:pt>
                <c:pt idx="45">
                  <c:v>31.1</c:v>
                </c:pt>
                <c:pt idx="46">
                  <c:v>34.590000000000003</c:v>
                </c:pt>
                <c:pt idx="47">
                  <c:v>36.99</c:v>
                </c:pt>
                <c:pt idx="48">
                  <c:v>40.65</c:v>
                </c:pt>
                <c:pt idx="49">
                  <c:v>36.42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191-B444-A93C-753F4DB330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76550047"/>
        <c:axId val="1138862752"/>
      </c:lineChart>
      <c:dateAx>
        <c:axId val="876550047"/>
        <c:scaling>
          <c:orientation val="minMax"/>
        </c:scaling>
        <c:delete val="0"/>
        <c:axPos val="b"/>
        <c:numFmt formatCode="[$-409]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8862752"/>
        <c:crosses val="autoZero"/>
        <c:auto val="1"/>
        <c:lblOffset val="100"/>
        <c:baseTimeUnit val="months"/>
      </c:dateAx>
      <c:valAx>
        <c:axId val="11388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65500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Data!$G$1</c:f>
              <c:strCache>
                <c:ptCount val="1"/>
                <c:pt idx="0">
                  <c:v>Inventory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Data!$A$2:$A$57</c:f>
              <c:numCache>
                <c:formatCode>[$-409]mmm\-yy;@</c:formatCode>
                <c:ptCount val="56"/>
                <c:pt idx="0">
                  <c:v>43831</c:v>
                </c:pt>
                <c:pt idx="1">
                  <c:v>43862</c:v>
                </c:pt>
                <c:pt idx="2">
                  <c:v>43891</c:v>
                </c:pt>
                <c:pt idx="3">
                  <c:v>43922</c:v>
                </c:pt>
                <c:pt idx="4">
                  <c:v>43952</c:v>
                </c:pt>
                <c:pt idx="5">
                  <c:v>43983</c:v>
                </c:pt>
                <c:pt idx="6">
                  <c:v>44013</c:v>
                </c:pt>
                <c:pt idx="7">
                  <c:v>44044</c:v>
                </c:pt>
                <c:pt idx="8">
                  <c:v>44075</c:v>
                </c:pt>
                <c:pt idx="9">
                  <c:v>44105</c:v>
                </c:pt>
                <c:pt idx="10">
                  <c:v>44136</c:v>
                </c:pt>
                <c:pt idx="11">
                  <c:v>44166</c:v>
                </c:pt>
                <c:pt idx="12">
                  <c:v>44197</c:v>
                </c:pt>
                <c:pt idx="13">
                  <c:v>44228</c:v>
                </c:pt>
                <c:pt idx="14">
                  <c:v>44256</c:v>
                </c:pt>
                <c:pt idx="15">
                  <c:v>44287</c:v>
                </c:pt>
                <c:pt idx="16">
                  <c:v>44317</c:v>
                </c:pt>
                <c:pt idx="17">
                  <c:v>44348</c:v>
                </c:pt>
                <c:pt idx="18">
                  <c:v>44378</c:v>
                </c:pt>
                <c:pt idx="19">
                  <c:v>44409</c:v>
                </c:pt>
                <c:pt idx="20">
                  <c:v>44440</c:v>
                </c:pt>
                <c:pt idx="21">
                  <c:v>44470</c:v>
                </c:pt>
                <c:pt idx="22">
                  <c:v>44501</c:v>
                </c:pt>
                <c:pt idx="23">
                  <c:v>44531</c:v>
                </c:pt>
                <c:pt idx="24">
                  <c:v>44562</c:v>
                </c:pt>
                <c:pt idx="25">
                  <c:v>44593</c:v>
                </c:pt>
                <c:pt idx="26">
                  <c:v>44621</c:v>
                </c:pt>
                <c:pt idx="27">
                  <c:v>44652</c:v>
                </c:pt>
                <c:pt idx="28">
                  <c:v>44682</c:v>
                </c:pt>
                <c:pt idx="29">
                  <c:v>44713</c:v>
                </c:pt>
                <c:pt idx="30">
                  <c:v>44743</c:v>
                </c:pt>
                <c:pt idx="31">
                  <c:v>44774</c:v>
                </c:pt>
                <c:pt idx="32">
                  <c:v>44805</c:v>
                </c:pt>
                <c:pt idx="33">
                  <c:v>44835</c:v>
                </c:pt>
                <c:pt idx="34">
                  <c:v>44866</c:v>
                </c:pt>
                <c:pt idx="35">
                  <c:v>44896</c:v>
                </c:pt>
                <c:pt idx="36">
                  <c:v>44927</c:v>
                </c:pt>
                <c:pt idx="37">
                  <c:v>44958</c:v>
                </c:pt>
                <c:pt idx="38">
                  <c:v>44986</c:v>
                </c:pt>
                <c:pt idx="39">
                  <c:v>45017</c:v>
                </c:pt>
                <c:pt idx="40">
                  <c:v>45047</c:v>
                </c:pt>
                <c:pt idx="41">
                  <c:v>45078</c:v>
                </c:pt>
                <c:pt idx="42">
                  <c:v>45108</c:v>
                </c:pt>
                <c:pt idx="43">
                  <c:v>45139</c:v>
                </c:pt>
                <c:pt idx="44">
                  <c:v>45170</c:v>
                </c:pt>
                <c:pt idx="45">
                  <c:v>45200</c:v>
                </c:pt>
                <c:pt idx="46">
                  <c:v>45231</c:v>
                </c:pt>
                <c:pt idx="47">
                  <c:v>45261</c:v>
                </c:pt>
                <c:pt idx="48">
                  <c:v>45292</c:v>
                </c:pt>
                <c:pt idx="49">
                  <c:v>45323</c:v>
                </c:pt>
                <c:pt idx="50">
                  <c:v>45352</c:v>
                </c:pt>
                <c:pt idx="51">
                  <c:v>45383</c:v>
                </c:pt>
                <c:pt idx="52">
                  <c:v>45413</c:v>
                </c:pt>
                <c:pt idx="53">
                  <c:v>45444</c:v>
                </c:pt>
                <c:pt idx="54">
                  <c:v>45474</c:v>
                </c:pt>
                <c:pt idx="55">
                  <c:v>45505</c:v>
                </c:pt>
              </c:numCache>
            </c:numRef>
          </c:cat>
          <c:val>
            <c:numRef>
              <c:f>Data!$G$2:$G$57</c:f>
              <c:numCache>
                <c:formatCode>General</c:formatCode>
                <c:ptCount val="56"/>
                <c:pt idx="0">
                  <c:v>3.0700000000000003</c:v>
                </c:pt>
                <c:pt idx="1">
                  <c:v>0.89000000000000057</c:v>
                </c:pt>
                <c:pt idx="2">
                  <c:v>0.47000000000000064</c:v>
                </c:pt>
                <c:pt idx="3">
                  <c:v>1.5800000000000018</c:v>
                </c:pt>
                <c:pt idx="4">
                  <c:v>-0.19999999999999929</c:v>
                </c:pt>
                <c:pt idx="5">
                  <c:v>5.9100000000000019</c:v>
                </c:pt>
                <c:pt idx="6">
                  <c:v>1.0700000000000021</c:v>
                </c:pt>
                <c:pt idx="7">
                  <c:v>3.9400000000000013</c:v>
                </c:pt>
                <c:pt idx="8">
                  <c:v>5.1999999999999993</c:v>
                </c:pt>
                <c:pt idx="9">
                  <c:v>8.8800000000000008</c:v>
                </c:pt>
                <c:pt idx="10">
                  <c:v>7.4900000000000038</c:v>
                </c:pt>
                <c:pt idx="11">
                  <c:v>8.0200000000000031</c:v>
                </c:pt>
                <c:pt idx="12">
                  <c:v>5.5600000000000023</c:v>
                </c:pt>
                <c:pt idx="13">
                  <c:v>12.450000000000003</c:v>
                </c:pt>
                <c:pt idx="14">
                  <c:v>9.4200000000000017</c:v>
                </c:pt>
                <c:pt idx="15">
                  <c:v>15.870000000000003</c:v>
                </c:pt>
                <c:pt idx="16">
                  <c:v>9.2200000000000042</c:v>
                </c:pt>
                <c:pt idx="17">
                  <c:v>6.6500000000000039</c:v>
                </c:pt>
                <c:pt idx="18">
                  <c:v>1.3400000000000016</c:v>
                </c:pt>
                <c:pt idx="19">
                  <c:v>1.7900000000000045</c:v>
                </c:pt>
                <c:pt idx="20">
                  <c:v>-2.2399999999999931</c:v>
                </c:pt>
                <c:pt idx="21">
                  <c:v>-2.5299999999999923</c:v>
                </c:pt>
                <c:pt idx="22">
                  <c:v>2.1000000000000103</c:v>
                </c:pt>
                <c:pt idx="23">
                  <c:v>4.4500000000000117</c:v>
                </c:pt>
                <c:pt idx="24">
                  <c:v>7.400000000000011</c:v>
                </c:pt>
                <c:pt idx="25">
                  <c:v>6.0400000000000116</c:v>
                </c:pt>
                <c:pt idx="26">
                  <c:v>5.9700000000000113</c:v>
                </c:pt>
                <c:pt idx="27">
                  <c:v>5.8300000000000107</c:v>
                </c:pt>
                <c:pt idx="28">
                  <c:v>11.480000000000009</c:v>
                </c:pt>
                <c:pt idx="29">
                  <c:v>8.9900000000000109</c:v>
                </c:pt>
                <c:pt idx="30">
                  <c:v>4.0800000000000107</c:v>
                </c:pt>
                <c:pt idx="31">
                  <c:v>6.1900000000000102</c:v>
                </c:pt>
                <c:pt idx="32">
                  <c:v>9.8600000000000083</c:v>
                </c:pt>
                <c:pt idx="33">
                  <c:v>6.5700000000000056</c:v>
                </c:pt>
                <c:pt idx="34">
                  <c:v>11.780000000000003</c:v>
                </c:pt>
                <c:pt idx="35">
                  <c:v>12.570000000000002</c:v>
                </c:pt>
                <c:pt idx="36">
                  <c:v>15.740000000000004</c:v>
                </c:pt>
                <c:pt idx="37">
                  <c:v>19.070000000000007</c:v>
                </c:pt>
                <c:pt idx="38">
                  <c:v>16.68000000000001</c:v>
                </c:pt>
                <c:pt idx="39">
                  <c:v>16.780000000000012</c:v>
                </c:pt>
                <c:pt idx="40">
                  <c:v>15.460000000000012</c:v>
                </c:pt>
                <c:pt idx="41">
                  <c:v>10.780000000000012</c:v>
                </c:pt>
                <c:pt idx="42">
                  <c:v>14.310000000000013</c:v>
                </c:pt>
                <c:pt idx="43">
                  <c:v>15.18000000000001</c:v>
                </c:pt>
                <c:pt idx="44">
                  <c:v>18.04000000000001</c:v>
                </c:pt>
                <c:pt idx="45">
                  <c:v>19.010000000000012</c:v>
                </c:pt>
                <c:pt idx="46">
                  <c:v>23.590000000000014</c:v>
                </c:pt>
                <c:pt idx="47">
                  <c:v>27.520000000000014</c:v>
                </c:pt>
                <c:pt idx="48">
                  <c:v>29.210000000000012</c:v>
                </c:pt>
                <c:pt idx="49">
                  <c:v>25.690000000000015</c:v>
                </c:pt>
                <c:pt idx="50">
                  <c:v>25.260000000000016</c:v>
                </c:pt>
                <c:pt idx="51">
                  <c:v>25.270000000000014</c:v>
                </c:pt>
                <c:pt idx="52">
                  <c:v>28.350000000000012</c:v>
                </c:pt>
                <c:pt idx="53">
                  <c:v>23.820000000000011</c:v>
                </c:pt>
                <c:pt idx="54">
                  <c:v>25.450000000000006</c:v>
                </c:pt>
                <c:pt idx="55">
                  <c:v>27.48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48-0841-90AC-2AA4E58833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9291407"/>
        <c:axId val="114073295"/>
      </c:lineChart>
      <c:dateAx>
        <c:axId val="319291407"/>
        <c:scaling>
          <c:orientation val="minMax"/>
        </c:scaling>
        <c:delete val="0"/>
        <c:axPos val="b"/>
        <c:numFmt formatCode="[$-409]mmm\-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073295"/>
        <c:crosses val="autoZero"/>
        <c:auto val="1"/>
        <c:lblOffset val="100"/>
        <c:baseTimeUnit val="months"/>
      </c:dateAx>
      <c:valAx>
        <c:axId val="1140732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2914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'AUX Data'!$B$1</c:f>
              <c:strCache>
                <c:ptCount val="1"/>
                <c:pt idx="0">
                  <c:v>Demand</c:v>
                </c:pt>
              </c:strCache>
            </c:strRef>
          </c:tx>
          <c:spPr>
            <a:ln w="28575" cap="rnd">
              <a:solidFill>
                <a:srgbClr val="FD24E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D24E1"/>
              </a:solidFill>
              <a:ln w="9525">
                <a:solidFill>
                  <a:srgbClr val="FD24E1"/>
                </a:solidFill>
              </a:ln>
              <a:effectLst/>
            </c:spPr>
          </c:marker>
          <c:cat>
            <c:numRef>
              <c:f>'AUX Data'!$A$2:$A$16</c:f>
              <c:numCache>
                <c:formatCode>[$-409]mmm\-yy;@</c:formatCode>
                <c:ptCount val="15"/>
                <c:pt idx="0">
                  <c:v>45078</c:v>
                </c:pt>
                <c:pt idx="1">
                  <c:v>45108</c:v>
                </c:pt>
                <c:pt idx="2">
                  <c:v>45139</c:v>
                </c:pt>
                <c:pt idx="3">
                  <c:v>45170</c:v>
                </c:pt>
                <c:pt idx="4">
                  <c:v>45200</c:v>
                </c:pt>
                <c:pt idx="5">
                  <c:v>45231</c:v>
                </c:pt>
                <c:pt idx="6">
                  <c:v>45261</c:v>
                </c:pt>
                <c:pt idx="7">
                  <c:v>45292</c:v>
                </c:pt>
                <c:pt idx="8">
                  <c:v>45323</c:v>
                </c:pt>
                <c:pt idx="9">
                  <c:v>45352</c:v>
                </c:pt>
                <c:pt idx="10">
                  <c:v>45383</c:v>
                </c:pt>
                <c:pt idx="11">
                  <c:v>45413</c:v>
                </c:pt>
                <c:pt idx="12">
                  <c:v>45444</c:v>
                </c:pt>
                <c:pt idx="13">
                  <c:v>45474</c:v>
                </c:pt>
                <c:pt idx="14">
                  <c:v>45505</c:v>
                </c:pt>
              </c:numCache>
            </c:numRef>
          </c:cat>
          <c:val>
            <c:numRef>
              <c:f>'AUX Data'!$B$2:$B$16</c:f>
              <c:numCache>
                <c:formatCode>General</c:formatCode>
                <c:ptCount val="15"/>
                <c:pt idx="0">
                  <c:v>28.08</c:v>
                </c:pt>
                <c:pt idx="1">
                  <c:v>27.98</c:v>
                </c:pt>
                <c:pt idx="2">
                  <c:v>33.61</c:v>
                </c:pt>
                <c:pt idx="3">
                  <c:v>37</c:v>
                </c:pt>
                <c:pt idx="4">
                  <c:v>30.13</c:v>
                </c:pt>
                <c:pt idx="5">
                  <c:v>30.01</c:v>
                </c:pt>
                <c:pt idx="6">
                  <c:v>33.06</c:v>
                </c:pt>
                <c:pt idx="7">
                  <c:v>38.96</c:v>
                </c:pt>
                <c:pt idx="8">
                  <c:v>39.94</c:v>
                </c:pt>
                <c:pt idx="9">
                  <c:v>31.03</c:v>
                </c:pt>
                <c:pt idx="10">
                  <c:v>30.87</c:v>
                </c:pt>
                <c:pt idx="11">
                  <c:v>34.47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B7-564E-A8CD-263C193A0F4D}"/>
            </c:ext>
          </c:extLst>
        </c:ser>
        <c:ser>
          <c:idx val="1"/>
          <c:order val="1"/>
          <c:tx>
            <c:strRef>
              <c:f>'AUX Data'!$C$1</c:f>
              <c:strCache>
                <c:ptCount val="1"/>
                <c:pt idx="0">
                  <c:v>Demand (Forecast)</c:v>
                </c:pt>
              </c:strCache>
            </c:strRef>
          </c:tx>
          <c:spPr>
            <a:ln w="28575" cap="rnd">
              <a:solidFill>
                <a:srgbClr val="FD24E1"/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rgbClr val="FD24E1"/>
              </a:solidFill>
              <a:ln w="9525">
                <a:solidFill>
                  <a:srgbClr val="FD24E1"/>
                </a:solidFill>
                <a:prstDash val="sysDash"/>
              </a:ln>
              <a:effectLst/>
            </c:spPr>
          </c:marker>
          <c:cat>
            <c:numRef>
              <c:f>'AUX Data'!$A$2:$A$16</c:f>
              <c:numCache>
                <c:formatCode>[$-409]mmm\-yy;@</c:formatCode>
                <c:ptCount val="15"/>
                <c:pt idx="0">
                  <c:v>45078</c:v>
                </c:pt>
                <c:pt idx="1">
                  <c:v>45108</c:v>
                </c:pt>
                <c:pt idx="2">
                  <c:v>45139</c:v>
                </c:pt>
                <c:pt idx="3">
                  <c:v>45170</c:v>
                </c:pt>
                <c:pt idx="4">
                  <c:v>45200</c:v>
                </c:pt>
                <c:pt idx="5">
                  <c:v>45231</c:v>
                </c:pt>
                <c:pt idx="6">
                  <c:v>45261</c:v>
                </c:pt>
                <c:pt idx="7">
                  <c:v>45292</c:v>
                </c:pt>
                <c:pt idx="8">
                  <c:v>45323</c:v>
                </c:pt>
                <c:pt idx="9">
                  <c:v>45352</c:v>
                </c:pt>
                <c:pt idx="10">
                  <c:v>45383</c:v>
                </c:pt>
                <c:pt idx="11">
                  <c:v>45413</c:v>
                </c:pt>
                <c:pt idx="12">
                  <c:v>45444</c:v>
                </c:pt>
                <c:pt idx="13">
                  <c:v>45474</c:v>
                </c:pt>
                <c:pt idx="14">
                  <c:v>45505</c:v>
                </c:pt>
              </c:numCache>
            </c:numRef>
          </c:cat>
          <c:val>
            <c:numRef>
              <c:f>'AUX Data'!$C$2:$C$16</c:f>
              <c:numCache>
                <c:formatCode>General</c:formatCode>
                <c:ptCount val="15"/>
                <c:pt idx="11">
                  <c:v>34.47</c:v>
                </c:pt>
                <c:pt idx="12">
                  <c:v>43.06</c:v>
                </c:pt>
                <c:pt idx="13">
                  <c:v>40.590000000000003</c:v>
                </c:pt>
                <c:pt idx="14">
                  <c:v>34.020000000000003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1B7-564E-A8CD-263C193A0F4D}"/>
            </c:ext>
          </c:extLst>
        </c:ser>
        <c:ser>
          <c:idx val="2"/>
          <c:order val="2"/>
          <c:tx>
            <c:strRef>
              <c:f>'AUX Data'!$G$1</c:f>
              <c:strCache>
                <c:ptCount val="1"/>
                <c:pt idx="0">
                  <c:v>Production Units</c:v>
                </c:pt>
              </c:strCache>
            </c:strRef>
          </c:tx>
          <c:spPr>
            <a:ln w="28575" cap="rnd">
              <a:solidFill>
                <a:schemeClr val="tx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tx2"/>
              </a:solidFill>
              <a:ln w="9525">
                <a:solidFill>
                  <a:schemeClr val="tx2"/>
                </a:solidFill>
              </a:ln>
              <a:effectLst/>
            </c:spPr>
          </c:marker>
          <c:cat>
            <c:numRef>
              <c:f>'AUX Data'!$A$2:$A$16</c:f>
              <c:numCache>
                <c:formatCode>[$-409]mmm\-yy;@</c:formatCode>
                <c:ptCount val="15"/>
                <c:pt idx="0">
                  <c:v>45078</c:v>
                </c:pt>
                <c:pt idx="1">
                  <c:v>45108</c:v>
                </c:pt>
                <c:pt idx="2">
                  <c:v>45139</c:v>
                </c:pt>
                <c:pt idx="3">
                  <c:v>45170</c:v>
                </c:pt>
                <c:pt idx="4">
                  <c:v>45200</c:v>
                </c:pt>
                <c:pt idx="5">
                  <c:v>45231</c:v>
                </c:pt>
                <c:pt idx="6">
                  <c:v>45261</c:v>
                </c:pt>
                <c:pt idx="7">
                  <c:v>45292</c:v>
                </c:pt>
                <c:pt idx="8">
                  <c:v>45323</c:v>
                </c:pt>
                <c:pt idx="9">
                  <c:v>45352</c:v>
                </c:pt>
                <c:pt idx="10">
                  <c:v>45383</c:v>
                </c:pt>
                <c:pt idx="11">
                  <c:v>45413</c:v>
                </c:pt>
                <c:pt idx="12">
                  <c:v>45444</c:v>
                </c:pt>
                <c:pt idx="13">
                  <c:v>45474</c:v>
                </c:pt>
                <c:pt idx="14">
                  <c:v>45505</c:v>
                </c:pt>
              </c:numCache>
            </c:numRef>
          </c:cat>
          <c:val>
            <c:numRef>
              <c:f>'AUX Data'!$G$2:$G$16</c:f>
              <c:numCache>
                <c:formatCode>General</c:formatCode>
                <c:ptCount val="15"/>
                <c:pt idx="0">
                  <c:v>23.4</c:v>
                </c:pt>
                <c:pt idx="1">
                  <c:v>31.51</c:v>
                </c:pt>
                <c:pt idx="2">
                  <c:v>34.479999999999997</c:v>
                </c:pt>
                <c:pt idx="3">
                  <c:v>39.86</c:v>
                </c:pt>
                <c:pt idx="4">
                  <c:v>31.1</c:v>
                </c:pt>
                <c:pt idx="5">
                  <c:v>34.590000000000003</c:v>
                </c:pt>
                <c:pt idx="6">
                  <c:v>36.99</c:v>
                </c:pt>
                <c:pt idx="7">
                  <c:v>40.65</c:v>
                </c:pt>
                <c:pt idx="8">
                  <c:v>36.42</c:v>
                </c:pt>
                <c:pt idx="9">
                  <c:v>30.6</c:v>
                </c:pt>
                <c:pt idx="10">
                  <c:v>30.88</c:v>
                </c:pt>
                <c:pt idx="11">
                  <c:v>37.549999999999997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1B7-564E-A8CD-263C193A0F4D}"/>
            </c:ext>
          </c:extLst>
        </c:ser>
        <c:ser>
          <c:idx val="3"/>
          <c:order val="3"/>
          <c:tx>
            <c:strRef>
              <c:f>'AUX Data'!$H$1</c:f>
              <c:strCache>
                <c:ptCount val="1"/>
                <c:pt idx="0">
                  <c:v>Production Units (Planned)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tx2"/>
              </a:solidFill>
              <a:ln w="9525">
                <a:solidFill>
                  <a:schemeClr val="tx2"/>
                </a:solidFill>
              </a:ln>
              <a:effectLst/>
            </c:spPr>
          </c:marker>
          <c:cat>
            <c:numRef>
              <c:f>'AUX Data'!$A$2:$A$16</c:f>
              <c:numCache>
                <c:formatCode>[$-409]mmm\-yy;@</c:formatCode>
                <c:ptCount val="15"/>
                <c:pt idx="0">
                  <c:v>45078</c:v>
                </c:pt>
                <c:pt idx="1">
                  <c:v>45108</c:v>
                </c:pt>
                <c:pt idx="2">
                  <c:v>45139</c:v>
                </c:pt>
                <c:pt idx="3">
                  <c:v>45170</c:v>
                </c:pt>
                <c:pt idx="4">
                  <c:v>45200</c:v>
                </c:pt>
                <c:pt idx="5">
                  <c:v>45231</c:v>
                </c:pt>
                <c:pt idx="6">
                  <c:v>45261</c:v>
                </c:pt>
                <c:pt idx="7">
                  <c:v>45292</c:v>
                </c:pt>
                <c:pt idx="8">
                  <c:v>45323</c:v>
                </c:pt>
                <c:pt idx="9">
                  <c:v>45352</c:v>
                </c:pt>
                <c:pt idx="10">
                  <c:v>45383</c:v>
                </c:pt>
                <c:pt idx="11">
                  <c:v>45413</c:v>
                </c:pt>
                <c:pt idx="12">
                  <c:v>45444</c:v>
                </c:pt>
                <c:pt idx="13">
                  <c:v>45474</c:v>
                </c:pt>
                <c:pt idx="14">
                  <c:v>45505</c:v>
                </c:pt>
              </c:numCache>
            </c:numRef>
          </c:cat>
          <c:val>
            <c:numRef>
              <c:f>'AUX Data'!$H$2:$H$16</c:f>
              <c:numCache>
                <c:formatCode>General</c:formatCode>
                <c:ptCount val="15"/>
                <c:pt idx="11">
                  <c:v>37.549999999999997</c:v>
                </c:pt>
                <c:pt idx="12">
                  <c:v>38.53</c:v>
                </c:pt>
                <c:pt idx="13">
                  <c:v>42.22</c:v>
                </c:pt>
                <c:pt idx="14">
                  <c:v>36.049999999999997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1B7-564E-A8CD-263C193A0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0481791"/>
        <c:axId val="360571231"/>
      </c:lineChart>
      <c:dateAx>
        <c:axId val="360481791"/>
        <c:scaling>
          <c:orientation val="minMax"/>
        </c:scaling>
        <c:delete val="0"/>
        <c:axPos val="b"/>
        <c:numFmt formatCode="[$-409]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571231"/>
        <c:crosses val="autoZero"/>
        <c:auto val="1"/>
        <c:lblOffset val="100"/>
        <c:baseTimeUnit val="months"/>
      </c:dateAx>
      <c:valAx>
        <c:axId val="360571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4817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'AUX Data'!$I$1</c:f>
              <c:strCache>
                <c:ptCount val="1"/>
                <c:pt idx="0">
                  <c:v>Inventory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'AUX Data'!$A$2:$A$16</c:f>
              <c:numCache>
                <c:formatCode>[$-409]mmm\-yy;@</c:formatCode>
                <c:ptCount val="15"/>
                <c:pt idx="0">
                  <c:v>45078</c:v>
                </c:pt>
                <c:pt idx="1">
                  <c:v>45108</c:v>
                </c:pt>
                <c:pt idx="2">
                  <c:v>45139</c:v>
                </c:pt>
                <c:pt idx="3">
                  <c:v>45170</c:v>
                </c:pt>
                <c:pt idx="4">
                  <c:v>45200</c:v>
                </c:pt>
                <c:pt idx="5">
                  <c:v>45231</c:v>
                </c:pt>
                <c:pt idx="6">
                  <c:v>45261</c:v>
                </c:pt>
                <c:pt idx="7">
                  <c:v>45292</c:v>
                </c:pt>
                <c:pt idx="8">
                  <c:v>45323</c:v>
                </c:pt>
                <c:pt idx="9">
                  <c:v>45352</c:v>
                </c:pt>
                <c:pt idx="10">
                  <c:v>45383</c:v>
                </c:pt>
                <c:pt idx="11">
                  <c:v>45413</c:v>
                </c:pt>
                <c:pt idx="12">
                  <c:v>45444</c:v>
                </c:pt>
                <c:pt idx="13">
                  <c:v>45474</c:v>
                </c:pt>
                <c:pt idx="14">
                  <c:v>45505</c:v>
                </c:pt>
              </c:numCache>
            </c:numRef>
          </c:cat>
          <c:val>
            <c:numRef>
              <c:f>'AUX Data'!$I$2:$I$16</c:f>
              <c:numCache>
                <c:formatCode>General</c:formatCode>
                <c:ptCount val="15"/>
                <c:pt idx="0">
                  <c:v>10.780000000000012</c:v>
                </c:pt>
                <c:pt idx="1">
                  <c:v>14.310000000000013</c:v>
                </c:pt>
                <c:pt idx="2">
                  <c:v>15.18000000000001</c:v>
                </c:pt>
                <c:pt idx="3">
                  <c:v>18.04000000000001</c:v>
                </c:pt>
                <c:pt idx="4">
                  <c:v>19.010000000000012</c:v>
                </c:pt>
                <c:pt idx="5">
                  <c:v>23.590000000000014</c:v>
                </c:pt>
                <c:pt idx="6">
                  <c:v>27.520000000000014</c:v>
                </c:pt>
                <c:pt idx="7">
                  <c:v>29.210000000000012</c:v>
                </c:pt>
                <c:pt idx="8">
                  <c:v>25.690000000000015</c:v>
                </c:pt>
                <c:pt idx="9">
                  <c:v>25.260000000000016</c:v>
                </c:pt>
                <c:pt idx="10">
                  <c:v>25.270000000000014</c:v>
                </c:pt>
                <c:pt idx="11">
                  <c:v>28.350000000000012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20-6349-BE28-E860AB48E32D}"/>
            </c:ext>
          </c:extLst>
        </c:ser>
        <c:ser>
          <c:idx val="1"/>
          <c:order val="1"/>
          <c:tx>
            <c:strRef>
              <c:f>'AUX Data'!$J$1</c:f>
              <c:strCache>
                <c:ptCount val="1"/>
                <c:pt idx="0">
                  <c:v>Inventory (Projected)</c:v>
                </c:pt>
              </c:strCache>
            </c:strRef>
          </c:tx>
          <c:spPr>
            <a:ln w="28575" cap="rnd">
              <a:solidFill>
                <a:schemeClr val="accent6"/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'AUX Data'!$A$2:$A$16</c:f>
              <c:numCache>
                <c:formatCode>[$-409]mmm\-yy;@</c:formatCode>
                <c:ptCount val="15"/>
                <c:pt idx="0">
                  <c:v>45078</c:v>
                </c:pt>
                <c:pt idx="1">
                  <c:v>45108</c:v>
                </c:pt>
                <c:pt idx="2">
                  <c:v>45139</c:v>
                </c:pt>
                <c:pt idx="3">
                  <c:v>45170</c:v>
                </c:pt>
                <c:pt idx="4">
                  <c:v>45200</c:v>
                </c:pt>
                <c:pt idx="5">
                  <c:v>45231</c:v>
                </c:pt>
                <c:pt idx="6">
                  <c:v>45261</c:v>
                </c:pt>
                <c:pt idx="7">
                  <c:v>45292</c:v>
                </c:pt>
                <c:pt idx="8">
                  <c:v>45323</c:v>
                </c:pt>
                <c:pt idx="9">
                  <c:v>45352</c:v>
                </c:pt>
                <c:pt idx="10">
                  <c:v>45383</c:v>
                </c:pt>
                <c:pt idx="11">
                  <c:v>45413</c:v>
                </c:pt>
                <c:pt idx="12">
                  <c:v>45444</c:v>
                </c:pt>
                <c:pt idx="13">
                  <c:v>45474</c:v>
                </c:pt>
                <c:pt idx="14">
                  <c:v>45505</c:v>
                </c:pt>
              </c:numCache>
            </c:numRef>
          </c:cat>
          <c:val>
            <c:numRef>
              <c:f>'AUX Data'!$J$2:$J$16</c:f>
              <c:numCache>
                <c:formatCode>General</c:formatCode>
                <c:ptCount val="15"/>
                <c:pt idx="11">
                  <c:v>28.350000000000012</c:v>
                </c:pt>
                <c:pt idx="12">
                  <c:v>23.820000000000011</c:v>
                </c:pt>
                <c:pt idx="13">
                  <c:v>25.450000000000006</c:v>
                </c:pt>
                <c:pt idx="14">
                  <c:v>27.48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20-6349-BE28-E860AB48E3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4417103"/>
        <c:axId val="294418831"/>
      </c:lineChart>
      <c:dateAx>
        <c:axId val="294417103"/>
        <c:scaling>
          <c:orientation val="minMax"/>
        </c:scaling>
        <c:delete val="0"/>
        <c:axPos val="b"/>
        <c:numFmt formatCode="[$-409]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4418831"/>
        <c:crosses val="autoZero"/>
        <c:auto val="1"/>
        <c:lblOffset val="100"/>
        <c:baseTimeUnit val="months"/>
      </c:dateAx>
      <c:valAx>
        <c:axId val="294418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44171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3F9F1A6-4F6E-B549-B1BC-BB4315FEC02C}">
  <sheetPr codeName="Chart3"/>
  <sheetViews>
    <sheetView zoomScale="127" workbookViewId="0" zoomToFit="1"/>
  </sheetViews>
  <pageMargins left="0.7" right="0.7" top="0.75" bottom="0.75" header="0.3" footer="0.3"/>
  <pageSetup orientation="landscape" horizontalDpi="0" verticalDpi="0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47E4BBF-AE60-C54D-8178-B0900C338F5B}">
  <sheetPr codeName="Chart1"/>
  <sheetViews>
    <sheetView zoomScale="127" workbookViewId="0" zoomToFit="1"/>
  </sheetViews>
  <pageMargins left="0.7" right="0.7" top="0.75" bottom="0.75" header="0.3" footer="0.3"/>
  <pageSetup orientation="landscape" horizontalDpi="0" verticalDpi="0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5C7AF3-5204-004A-96A5-9E7B4E0FA060}">
  <sheetPr codeName="Chart2"/>
  <sheetViews>
    <sheetView zoomScale="127" workbookViewId="0" zoomToFit="1"/>
  </sheetViews>
  <pageMargins left="0.7" right="0.7" top="0.75" bottom="0.75" header="0.3" footer="0.3"/>
  <pageSetup orientation="landscape" horizontalDpi="0" verticalDpi="0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80000" cy="629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0.00585</cdr:x>
      <cdr:y>0.00808</cdr:y>
    </cdr:from>
    <cdr:to>
      <cdr:x>0.15955</cdr:x>
      <cdr:y>0.04845</cdr:y>
    </cdr:to>
    <cdr:sp macro="[0]!GoToMainSheet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C0A63475-40B3-B087-99FF-86C14D0CDB53}"/>
            </a:ext>
          </a:extLst>
        </cdr:cNvPr>
        <cdr:cNvSpPr/>
      </cdr:nvSpPr>
      <cdr:spPr>
        <a:xfrm xmlns:a="http://schemas.openxmlformats.org/drawingml/2006/main">
          <a:off x="50800" y="50800"/>
          <a:ext cx="1333500" cy="254000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r>
            <a:rPr lang="en-US"/>
            <a:t>Back to Main Sheet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80000" cy="629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0.00585</cdr:x>
      <cdr:y>0.00808</cdr:y>
    </cdr:from>
    <cdr:to>
      <cdr:x>0.15955</cdr:x>
      <cdr:y>0.05653</cdr:y>
    </cdr:to>
    <cdr:sp macro="[0]!GoToMainSheet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A9B3963D-6179-08AE-826C-FA81A19085AA}"/>
            </a:ext>
          </a:extLst>
        </cdr:cNvPr>
        <cdr:cNvSpPr/>
      </cdr:nvSpPr>
      <cdr:spPr>
        <a:xfrm xmlns:a="http://schemas.openxmlformats.org/drawingml/2006/main">
          <a:off x="50800" y="50800"/>
          <a:ext cx="1333500" cy="304800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r>
            <a:rPr lang="en-US"/>
            <a:t>Back to Main Sheet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80000" cy="629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0.00585</cdr:x>
      <cdr:y>0.00806</cdr:y>
    </cdr:from>
    <cdr:to>
      <cdr:x>0.15938</cdr:x>
      <cdr:y>0.04833</cdr:y>
    </cdr:to>
    <cdr:sp macro="[0]!GoToMainSheet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D2E0741B-6C0C-1FA0-C649-2D35A2889C82}"/>
            </a:ext>
          </a:extLst>
        </cdr:cNvPr>
        <cdr:cNvSpPr/>
      </cdr:nvSpPr>
      <cdr:spPr>
        <a:xfrm xmlns:a="http://schemas.openxmlformats.org/drawingml/2006/main">
          <a:off x="50800" y="50800"/>
          <a:ext cx="1333500" cy="254000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r>
            <a:rPr lang="en-US"/>
            <a:t>Back to Main Sheet</a:t>
          </a: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165100</xdr:colOff>
      <xdr:row>7</xdr:row>
      <xdr:rowOff>165100</xdr:rowOff>
    </xdr:from>
    <xdr:to>
      <xdr:col>19</xdr:col>
      <xdr:colOff>292100</xdr:colOff>
      <xdr:row>31</xdr:row>
      <xdr:rowOff>152400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2959100" y="1498600"/>
          <a:ext cx="7810500" cy="57404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 sz="16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6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This spreadsheet allows the managers in the production planning to see the following visualization of the raw data as follows:</a:t>
          </a:r>
        </a:p>
        <a:p>
          <a:br>
            <a:rPr lang="en-US" sz="16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</a:br>
          <a:r>
            <a:rPr lang="en-US" sz="16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o </a:t>
          </a:r>
          <a:r>
            <a:rPr lang="en-US" sz="1600" i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 line chart of the historical inventory levels</a:t>
          </a:r>
          <a:br>
            <a:rPr lang="en-US" sz="1600" i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</a:br>
          <a:r>
            <a:rPr lang="en-US" sz="16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o </a:t>
          </a:r>
          <a:r>
            <a:rPr lang="en-US" sz="1600" i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 line chart of the historical production cost along with the holding cost </a:t>
          </a:r>
          <a:endParaRPr lang="en-US" sz="1600"/>
        </a:p>
        <a:p>
          <a:r>
            <a:rPr lang="en-US" sz="16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o </a:t>
          </a:r>
          <a:r>
            <a:rPr lang="en-US" sz="1600" i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 line chart of the historical production units along with the demand </a:t>
          </a:r>
        </a:p>
        <a:p>
          <a:endParaRPr lang="en-US" sz="1600" i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6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Please click the buttons below to see the charts corresponding charts: </a:t>
          </a:r>
          <a:endParaRPr lang="en-US" sz="1600"/>
        </a:p>
        <a:p>
          <a:pPr algn="l"/>
          <a:endParaRPr lang="en-US" sz="16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292100</xdr:colOff>
          <xdr:row>18</xdr:row>
          <xdr:rowOff>0</xdr:rowOff>
        </xdr:from>
        <xdr:to>
          <xdr:col>11</xdr:col>
          <xdr:colOff>330200</xdr:colOff>
          <xdr:row>20</xdr:row>
          <xdr:rowOff>101600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4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50800</xdr:colOff>
          <xdr:row>18</xdr:row>
          <xdr:rowOff>38100</xdr:rowOff>
        </xdr:from>
        <xdr:to>
          <xdr:col>14</xdr:col>
          <xdr:colOff>266700</xdr:colOff>
          <xdr:row>20</xdr:row>
          <xdr:rowOff>127000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4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Production Holding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18</xdr:row>
          <xdr:rowOff>38100</xdr:rowOff>
        </xdr:from>
        <xdr:to>
          <xdr:col>17</xdr:col>
          <xdr:colOff>368300</xdr:colOff>
          <xdr:row>20</xdr:row>
          <xdr:rowOff>101600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4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Production Demand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374845</xdr:colOff>
      <xdr:row>21</xdr:row>
      <xdr:rowOff>76200</xdr:rowOff>
    </xdr:from>
    <xdr:to>
      <xdr:col>14</xdr:col>
      <xdr:colOff>165101</xdr:colOff>
      <xdr:row>23</xdr:row>
      <xdr:rowOff>60960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65845" y="5257800"/>
          <a:ext cx="5378256" cy="36576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546100</xdr:colOff>
          <xdr:row>24</xdr:row>
          <xdr:rowOff>152400</xdr:rowOff>
        </xdr:from>
        <xdr:to>
          <xdr:col>10</xdr:col>
          <xdr:colOff>673100</xdr:colOff>
          <xdr:row>26</xdr:row>
          <xdr:rowOff>152400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4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25400</xdr:rowOff>
    </xdr:from>
    <xdr:to>
      <xdr:col>10</xdr:col>
      <xdr:colOff>241300</xdr:colOff>
      <xdr:row>31</xdr:row>
      <xdr:rowOff>38100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762000</xdr:colOff>
      <xdr:row>34</xdr:row>
      <xdr:rowOff>152400</xdr:rowOff>
    </xdr:from>
    <xdr:to>
      <xdr:col>9</xdr:col>
      <xdr:colOff>647700</xdr:colOff>
      <xdr:row>47</xdr:row>
      <xdr:rowOff>63500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57"/>
  <sheetViews>
    <sheetView zoomScale="85" zoomScaleNormal="85" workbookViewId="0">
      <selection activeCell="I25" sqref="I25"/>
    </sheetView>
  </sheetViews>
  <sheetFormatPr baseColWidth="10" defaultColWidth="11.5" defaultRowHeight="15"/>
  <cols>
    <col min="2" max="2" width="22.33203125" customWidth="1"/>
    <col min="3" max="3" width="40.1640625" customWidth="1"/>
    <col min="4" max="4" width="23.6640625" customWidth="1"/>
    <col min="5" max="5" width="17" customWidth="1"/>
    <col min="6" max="7" width="25.33203125" customWidth="1"/>
  </cols>
  <sheetData>
    <row r="1" spans="1:7">
      <c r="A1" s="2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0</v>
      </c>
    </row>
    <row r="2" spans="1:7">
      <c r="A2" s="3">
        <v>43831</v>
      </c>
      <c r="B2">
        <v>13.04</v>
      </c>
      <c r="C2">
        <v>5.41</v>
      </c>
      <c r="D2">
        <v>4.79</v>
      </c>
      <c r="E2">
        <v>14.32</v>
      </c>
      <c r="F2">
        <v>16.11</v>
      </c>
      <c r="G2">
        <f>F2-B2</f>
        <v>3.0700000000000003</v>
      </c>
    </row>
    <row r="3" spans="1:7">
      <c r="A3" s="3">
        <v>43862</v>
      </c>
      <c r="B3">
        <v>11.9</v>
      </c>
      <c r="C3">
        <v>5.68</v>
      </c>
      <c r="D3">
        <v>4.7</v>
      </c>
      <c r="E3">
        <v>12.02</v>
      </c>
      <c r="F3">
        <v>9.7200000000000006</v>
      </c>
      <c r="G3">
        <f>F3-B3+G2</f>
        <v>0.89000000000000057</v>
      </c>
    </row>
    <row r="4" spans="1:7">
      <c r="A4" s="3">
        <v>43891</v>
      </c>
      <c r="B4">
        <v>9.74</v>
      </c>
      <c r="C4">
        <v>5.82</v>
      </c>
      <c r="D4">
        <v>4.09</v>
      </c>
      <c r="E4">
        <v>12.42</v>
      </c>
      <c r="F4">
        <v>9.32</v>
      </c>
      <c r="G4">
        <f t="shared" ref="G4:G57" si="0">F4-B4+G3</f>
        <v>0.47000000000000064</v>
      </c>
    </row>
    <row r="5" spans="1:7">
      <c r="A5" s="3">
        <v>43922</v>
      </c>
      <c r="B5">
        <v>13.6</v>
      </c>
      <c r="C5">
        <v>5.66</v>
      </c>
      <c r="D5">
        <v>4.37</v>
      </c>
      <c r="E5">
        <v>12.39</v>
      </c>
      <c r="F5">
        <v>14.71</v>
      </c>
      <c r="G5">
        <f t="shared" si="0"/>
        <v>1.5800000000000018</v>
      </c>
    </row>
    <row r="6" spans="1:7">
      <c r="A6" s="3">
        <v>43952</v>
      </c>
      <c r="B6">
        <v>16.39</v>
      </c>
      <c r="C6">
        <v>5.76</v>
      </c>
      <c r="D6">
        <v>4.41</v>
      </c>
      <c r="E6">
        <v>16.920000000000002</v>
      </c>
      <c r="F6">
        <v>14.61</v>
      </c>
      <c r="G6">
        <f t="shared" si="0"/>
        <v>-0.19999999999999929</v>
      </c>
    </row>
    <row r="7" spans="1:7">
      <c r="A7" s="3">
        <v>43983</v>
      </c>
      <c r="B7">
        <v>10.78</v>
      </c>
      <c r="C7">
        <v>5.41</v>
      </c>
      <c r="D7">
        <v>4.34</v>
      </c>
      <c r="E7">
        <v>15.62</v>
      </c>
      <c r="F7">
        <v>16.89</v>
      </c>
      <c r="G7">
        <f t="shared" si="0"/>
        <v>5.9100000000000019</v>
      </c>
    </row>
    <row r="8" spans="1:7">
      <c r="A8" s="3">
        <v>44013</v>
      </c>
      <c r="B8">
        <v>13.64</v>
      </c>
      <c r="C8">
        <v>5.93</v>
      </c>
      <c r="D8">
        <v>4.16</v>
      </c>
      <c r="E8">
        <v>15.59</v>
      </c>
      <c r="F8">
        <v>8.8000000000000007</v>
      </c>
      <c r="G8">
        <f t="shared" si="0"/>
        <v>1.0700000000000021</v>
      </c>
    </row>
    <row r="9" spans="1:7">
      <c r="A9" s="3">
        <v>44044</v>
      </c>
      <c r="B9">
        <v>12.49</v>
      </c>
      <c r="C9">
        <v>5.8</v>
      </c>
      <c r="D9">
        <v>4</v>
      </c>
      <c r="E9">
        <v>14.14</v>
      </c>
      <c r="F9">
        <v>15.36</v>
      </c>
      <c r="G9">
        <f t="shared" si="0"/>
        <v>3.9400000000000013</v>
      </c>
    </row>
    <row r="10" spans="1:7">
      <c r="A10" s="3">
        <v>44075</v>
      </c>
      <c r="B10">
        <v>16.8</v>
      </c>
      <c r="C10">
        <v>5.18</v>
      </c>
      <c r="D10">
        <v>4.4800000000000004</v>
      </c>
      <c r="E10">
        <v>17.91</v>
      </c>
      <c r="F10">
        <v>18.059999999999999</v>
      </c>
      <c r="G10">
        <f t="shared" si="0"/>
        <v>5.1999999999999993</v>
      </c>
    </row>
    <row r="11" spans="1:7">
      <c r="A11" s="3">
        <v>44105</v>
      </c>
      <c r="B11">
        <v>15.42</v>
      </c>
      <c r="C11">
        <v>5.61</v>
      </c>
      <c r="D11">
        <v>4.68</v>
      </c>
      <c r="E11">
        <v>19.28</v>
      </c>
      <c r="F11">
        <v>19.100000000000001</v>
      </c>
      <c r="G11">
        <f t="shared" si="0"/>
        <v>8.8800000000000008</v>
      </c>
    </row>
    <row r="12" spans="1:7">
      <c r="A12" s="3">
        <v>44136</v>
      </c>
      <c r="B12">
        <v>17.579999999999998</v>
      </c>
      <c r="C12">
        <v>5.57</v>
      </c>
      <c r="D12">
        <v>4.75</v>
      </c>
      <c r="E12">
        <v>16.59</v>
      </c>
      <c r="F12">
        <v>16.190000000000001</v>
      </c>
      <c r="G12">
        <f t="shared" si="0"/>
        <v>7.4900000000000038</v>
      </c>
    </row>
    <row r="13" spans="1:7">
      <c r="A13" s="3">
        <v>44166</v>
      </c>
      <c r="B13">
        <v>13.22</v>
      </c>
      <c r="C13">
        <v>5.67</v>
      </c>
      <c r="D13">
        <v>4.4800000000000004</v>
      </c>
      <c r="E13">
        <v>16.5</v>
      </c>
      <c r="F13">
        <v>13.75</v>
      </c>
      <c r="G13">
        <f t="shared" si="0"/>
        <v>8.0200000000000031</v>
      </c>
    </row>
    <row r="14" spans="1:7">
      <c r="A14" s="3">
        <v>44197</v>
      </c>
      <c r="B14">
        <v>13.96</v>
      </c>
      <c r="C14">
        <v>5.33</v>
      </c>
      <c r="D14">
        <v>4.53</v>
      </c>
      <c r="E14">
        <v>17.45</v>
      </c>
      <c r="F14">
        <v>11.5</v>
      </c>
      <c r="G14">
        <f t="shared" si="0"/>
        <v>5.5600000000000023</v>
      </c>
    </row>
    <row r="15" spans="1:7">
      <c r="A15" s="3">
        <v>44228</v>
      </c>
      <c r="B15">
        <v>15.98</v>
      </c>
      <c r="C15">
        <v>5.49</v>
      </c>
      <c r="D15">
        <v>4.59</v>
      </c>
      <c r="E15">
        <v>19.63</v>
      </c>
      <c r="F15">
        <v>22.87</v>
      </c>
      <c r="G15">
        <f t="shared" si="0"/>
        <v>12.450000000000003</v>
      </c>
    </row>
    <row r="16" spans="1:7">
      <c r="A16" s="3">
        <v>44256</v>
      </c>
      <c r="B16">
        <v>18.3</v>
      </c>
      <c r="C16">
        <v>5.39</v>
      </c>
      <c r="D16">
        <v>4.82</v>
      </c>
      <c r="E16">
        <v>21.47</v>
      </c>
      <c r="F16">
        <v>15.27</v>
      </c>
      <c r="G16">
        <f t="shared" si="0"/>
        <v>9.4200000000000017</v>
      </c>
    </row>
    <row r="17" spans="1:7">
      <c r="A17" s="3">
        <v>44287</v>
      </c>
      <c r="B17">
        <v>15.12</v>
      </c>
      <c r="C17">
        <v>5.46</v>
      </c>
      <c r="D17">
        <v>4.17</v>
      </c>
      <c r="E17">
        <v>18.47</v>
      </c>
      <c r="F17">
        <v>21.57</v>
      </c>
      <c r="G17">
        <f t="shared" si="0"/>
        <v>15.870000000000003</v>
      </c>
    </row>
    <row r="18" spans="1:7">
      <c r="A18" s="3">
        <v>44317</v>
      </c>
      <c r="B18">
        <v>19.47</v>
      </c>
      <c r="C18">
        <v>5.12</v>
      </c>
      <c r="D18">
        <v>4.49</v>
      </c>
      <c r="E18">
        <v>20.059999999999999</v>
      </c>
      <c r="F18">
        <v>12.82</v>
      </c>
      <c r="G18">
        <f t="shared" si="0"/>
        <v>9.2200000000000042</v>
      </c>
    </row>
    <row r="19" spans="1:7">
      <c r="A19" s="3">
        <v>44348</v>
      </c>
      <c r="B19">
        <v>17.66</v>
      </c>
      <c r="C19">
        <v>5.58</v>
      </c>
      <c r="D19">
        <v>4.59</v>
      </c>
      <c r="E19">
        <v>21.96</v>
      </c>
      <c r="F19">
        <v>15.09</v>
      </c>
      <c r="G19">
        <f t="shared" si="0"/>
        <v>6.6500000000000039</v>
      </c>
    </row>
    <row r="20" spans="1:7">
      <c r="A20" s="3">
        <v>44378</v>
      </c>
      <c r="B20">
        <v>23.1</v>
      </c>
      <c r="C20">
        <v>5.84</v>
      </c>
      <c r="D20">
        <v>4.5999999999999996</v>
      </c>
      <c r="E20">
        <v>25.2</v>
      </c>
      <c r="F20">
        <v>17.79</v>
      </c>
      <c r="G20">
        <f t="shared" si="0"/>
        <v>1.3400000000000016</v>
      </c>
    </row>
    <row r="21" spans="1:7">
      <c r="A21" s="3">
        <v>44409</v>
      </c>
      <c r="B21">
        <v>22.99</v>
      </c>
      <c r="C21">
        <v>5.55</v>
      </c>
      <c r="D21">
        <v>4.66</v>
      </c>
      <c r="E21">
        <v>25.88</v>
      </c>
      <c r="F21">
        <v>23.44</v>
      </c>
      <c r="G21">
        <f t="shared" si="0"/>
        <v>1.7900000000000045</v>
      </c>
    </row>
    <row r="22" spans="1:7">
      <c r="A22" s="3">
        <v>44440</v>
      </c>
      <c r="B22">
        <v>20.72</v>
      </c>
      <c r="C22">
        <v>5.09</v>
      </c>
      <c r="D22">
        <v>4.68</v>
      </c>
      <c r="E22">
        <v>24.6</v>
      </c>
      <c r="F22">
        <v>16.690000000000001</v>
      </c>
      <c r="G22">
        <f t="shared" si="0"/>
        <v>-2.2399999999999931</v>
      </c>
    </row>
    <row r="23" spans="1:7">
      <c r="A23" s="3">
        <v>44470</v>
      </c>
      <c r="B23">
        <v>20.57</v>
      </c>
      <c r="C23">
        <v>5.35</v>
      </c>
      <c r="D23">
        <v>4.1900000000000004</v>
      </c>
      <c r="E23">
        <v>20.51</v>
      </c>
      <c r="F23">
        <v>20.28</v>
      </c>
      <c r="G23">
        <f t="shared" si="0"/>
        <v>-2.5299999999999923</v>
      </c>
    </row>
    <row r="24" spans="1:7">
      <c r="A24" s="3">
        <v>44501</v>
      </c>
      <c r="B24">
        <v>18.899999999999999</v>
      </c>
      <c r="C24">
        <v>5.43</v>
      </c>
      <c r="D24">
        <v>4.3099999999999996</v>
      </c>
      <c r="E24">
        <v>22.76</v>
      </c>
      <c r="F24">
        <v>23.53</v>
      </c>
      <c r="G24">
        <f t="shared" si="0"/>
        <v>2.1000000000000103</v>
      </c>
    </row>
    <row r="25" spans="1:7">
      <c r="A25" s="3">
        <v>44531</v>
      </c>
      <c r="B25">
        <v>23.86</v>
      </c>
      <c r="C25">
        <v>5.82</v>
      </c>
      <c r="D25">
        <v>4.46</v>
      </c>
      <c r="E25">
        <v>28.63</v>
      </c>
      <c r="F25">
        <v>26.21</v>
      </c>
      <c r="G25">
        <f t="shared" si="0"/>
        <v>4.4500000000000117</v>
      </c>
    </row>
    <row r="26" spans="1:7">
      <c r="A26" s="3">
        <v>44562</v>
      </c>
      <c r="B26">
        <v>25.61</v>
      </c>
      <c r="C26">
        <v>5.26</v>
      </c>
      <c r="D26">
        <v>4.76</v>
      </c>
      <c r="E26">
        <v>28.27</v>
      </c>
      <c r="F26">
        <v>28.56</v>
      </c>
      <c r="G26">
        <f t="shared" si="0"/>
        <v>7.400000000000011</v>
      </c>
    </row>
    <row r="27" spans="1:7">
      <c r="A27" s="3">
        <v>44593</v>
      </c>
      <c r="B27">
        <v>22.84</v>
      </c>
      <c r="C27">
        <v>5.42</v>
      </c>
      <c r="D27">
        <v>4.46</v>
      </c>
      <c r="E27">
        <v>25.03</v>
      </c>
      <c r="F27">
        <v>21.48</v>
      </c>
      <c r="G27">
        <f t="shared" si="0"/>
        <v>6.0400000000000116</v>
      </c>
    </row>
    <row r="28" spans="1:7">
      <c r="A28" s="3">
        <v>44621</v>
      </c>
      <c r="B28">
        <v>18.190000000000001</v>
      </c>
      <c r="C28">
        <v>5.13</v>
      </c>
      <c r="D28">
        <v>4.7300000000000004</v>
      </c>
      <c r="E28">
        <v>20.87</v>
      </c>
      <c r="F28">
        <v>18.12</v>
      </c>
      <c r="G28">
        <f t="shared" si="0"/>
        <v>5.9700000000000113</v>
      </c>
    </row>
    <row r="29" spans="1:7">
      <c r="A29" s="3">
        <v>44652</v>
      </c>
      <c r="B29">
        <v>23.18</v>
      </c>
      <c r="C29">
        <v>5.54</v>
      </c>
      <c r="D29">
        <v>4.32</v>
      </c>
      <c r="E29">
        <v>25.16</v>
      </c>
      <c r="F29">
        <v>23.04</v>
      </c>
      <c r="G29">
        <f t="shared" si="0"/>
        <v>5.8300000000000107</v>
      </c>
    </row>
    <row r="30" spans="1:7">
      <c r="A30" s="3">
        <v>44682</v>
      </c>
      <c r="B30">
        <v>26.39</v>
      </c>
      <c r="C30">
        <v>5.66</v>
      </c>
      <c r="D30">
        <v>4.6500000000000004</v>
      </c>
      <c r="E30">
        <v>27.09</v>
      </c>
      <c r="F30">
        <v>32.04</v>
      </c>
      <c r="G30">
        <f t="shared" si="0"/>
        <v>11.480000000000009</v>
      </c>
    </row>
    <row r="31" spans="1:7">
      <c r="A31" s="3">
        <v>44713</v>
      </c>
      <c r="B31">
        <v>29.54</v>
      </c>
      <c r="C31">
        <v>5.44</v>
      </c>
      <c r="D31">
        <v>4.41</v>
      </c>
      <c r="E31">
        <v>31.01</v>
      </c>
      <c r="F31">
        <v>27.05</v>
      </c>
      <c r="G31">
        <f t="shared" si="0"/>
        <v>8.9900000000000109</v>
      </c>
    </row>
    <row r="32" spans="1:7">
      <c r="A32" s="3">
        <v>44743</v>
      </c>
      <c r="B32">
        <v>26.59</v>
      </c>
      <c r="C32">
        <v>5.81</v>
      </c>
      <c r="D32">
        <v>4.8099999999999996</v>
      </c>
      <c r="E32">
        <v>27.29</v>
      </c>
      <c r="F32">
        <v>21.68</v>
      </c>
      <c r="G32">
        <f t="shared" si="0"/>
        <v>4.0800000000000107</v>
      </c>
    </row>
    <row r="33" spans="1:7">
      <c r="A33" s="3">
        <v>44774</v>
      </c>
      <c r="B33">
        <v>21.05</v>
      </c>
      <c r="C33">
        <v>5.36</v>
      </c>
      <c r="D33">
        <v>4.08</v>
      </c>
      <c r="E33">
        <v>23.41</v>
      </c>
      <c r="F33">
        <v>23.16</v>
      </c>
      <c r="G33">
        <f t="shared" si="0"/>
        <v>6.1900000000000102</v>
      </c>
    </row>
    <row r="34" spans="1:7">
      <c r="A34" s="3">
        <v>44805</v>
      </c>
      <c r="B34">
        <v>26.66</v>
      </c>
      <c r="C34">
        <v>5.76</v>
      </c>
      <c r="D34">
        <v>4.68</v>
      </c>
      <c r="E34">
        <v>27.4</v>
      </c>
      <c r="F34">
        <v>30.33</v>
      </c>
      <c r="G34">
        <f t="shared" si="0"/>
        <v>9.8600000000000083</v>
      </c>
    </row>
    <row r="35" spans="1:7">
      <c r="A35" s="3">
        <v>44835</v>
      </c>
      <c r="B35">
        <v>29.28</v>
      </c>
      <c r="C35">
        <v>5.42</v>
      </c>
      <c r="D35">
        <v>4.6900000000000004</v>
      </c>
      <c r="E35">
        <v>29.62</v>
      </c>
      <c r="F35">
        <v>25.99</v>
      </c>
      <c r="G35">
        <f t="shared" si="0"/>
        <v>6.5700000000000056</v>
      </c>
    </row>
    <row r="36" spans="1:7">
      <c r="A36" s="3">
        <v>44866</v>
      </c>
      <c r="B36">
        <v>27.41</v>
      </c>
      <c r="C36">
        <v>5.35</v>
      </c>
      <c r="D36">
        <v>4.93</v>
      </c>
      <c r="E36">
        <v>32.47</v>
      </c>
      <c r="F36">
        <v>32.619999999999997</v>
      </c>
      <c r="G36">
        <f t="shared" si="0"/>
        <v>11.780000000000003</v>
      </c>
    </row>
    <row r="37" spans="1:7">
      <c r="A37" s="3">
        <v>44896</v>
      </c>
      <c r="B37">
        <v>27.43</v>
      </c>
      <c r="C37">
        <v>5.93</v>
      </c>
      <c r="D37">
        <v>4.83</v>
      </c>
      <c r="E37">
        <v>27.76</v>
      </c>
      <c r="F37">
        <v>28.22</v>
      </c>
      <c r="G37">
        <f t="shared" si="0"/>
        <v>12.570000000000002</v>
      </c>
    </row>
    <row r="38" spans="1:7">
      <c r="A38" s="3">
        <v>44927</v>
      </c>
      <c r="B38">
        <v>26.77</v>
      </c>
      <c r="C38">
        <v>5.68</v>
      </c>
      <c r="D38">
        <v>4.6399999999999997</v>
      </c>
      <c r="E38">
        <v>25.26</v>
      </c>
      <c r="F38">
        <v>29.94</v>
      </c>
      <c r="G38">
        <f t="shared" si="0"/>
        <v>15.740000000000004</v>
      </c>
    </row>
    <row r="39" spans="1:7">
      <c r="A39" s="3">
        <v>44958</v>
      </c>
      <c r="B39">
        <v>28.34</v>
      </c>
      <c r="C39">
        <v>5.42</v>
      </c>
      <c r="D39">
        <v>4.9000000000000004</v>
      </c>
      <c r="E39">
        <v>31.03</v>
      </c>
      <c r="F39">
        <v>31.67</v>
      </c>
      <c r="G39">
        <f t="shared" si="0"/>
        <v>19.070000000000007</v>
      </c>
    </row>
    <row r="40" spans="1:7">
      <c r="A40" s="3">
        <v>44986</v>
      </c>
      <c r="B40">
        <v>34.33</v>
      </c>
      <c r="C40">
        <v>5.43</v>
      </c>
      <c r="D40">
        <v>4.7300000000000004</v>
      </c>
      <c r="E40">
        <v>33.18</v>
      </c>
      <c r="F40">
        <v>31.94</v>
      </c>
      <c r="G40">
        <f t="shared" si="0"/>
        <v>16.68000000000001</v>
      </c>
    </row>
    <row r="41" spans="1:7">
      <c r="A41" s="3">
        <v>45017</v>
      </c>
      <c r="B41">
        <v>34.1</v>
      </c>
      <c r="C41">
        <v>5.56</v>
      </c>
      <c r="D41">
        <v>4.8</v>
      </c>
      <c r="E41">
        <v>35.47</v>
      </c>
      <c r="F41">
        <v>34.200000000000003</v>
      </c>
      <c r="G41">
        <f t="shared" si="0"/>
        <v>16.780000000000012</v>
      </c>
    </row>
    <row r="42" spans="1:7">
      <c r="A42" s="3">
        <v>45047</v>
      </c>
      <c r="B42">
        <v>31.75</v>
      </c>
      <c r="C42">
        <v>5.09</v>
      </c>
      <c r="D42">
        <v>4.2699999999999996</v>
      </c>
      <c r="E42">
        <v>31.86</v>
      </c>
      <c r="F42">
        <v>30.43</v>
      </c>
      <c r="G42">
        <f t="shared" si="0"/>
        <v>15.460000000000012</v>
      </c>
    </row>
    <row r="43" spans="1:7">
      <c r="A43" s="3">
        <v>45078</v>
      </c>
      <c r="B43">
        <v>28.08</v>
      </c>
      <c r="C43">
        <v>5.22</v>
      </c>
      <c r="D43">
        <v>4.83</v>
      </c>
      <c r="E43">
        <v>28.63</v>
      </c>
      <c r="F43">
        <v>23.4</v>
      </c>
      <c r="G43">
        <f t="shared" si="0"/>
        <v>10.780000000000012</v>
      </c>
    </row>
    <row r="44" spans="1:7">
      <c r="A44" s="3">
        <v>45108</v>
      </c>
      <c r="B44">
        <v>27.98</v>
      </c>
      <c r="C44">
        <v>5.33</v>
      </c>
      <c r="D44">
        <v>4.0999999999999996</v>
      </c>
      <c r="E44">
        <v>33.35</v>
      </c>
      <c r="F44">
        <v>31.51</v>
      </c>
      <c r="G44">
        <f t="shared" si="0"/>
        <v>14.310000000000013</v>
      </c>
    </row>
    <row r="45" spans="1:7">
      <c r="A45" s="3">
        <v>45139</v>
      </c>
      <c r="B45">
        <v>33.61</v>
      </c>
      <c r="C45">
        <v>5.12</v>
      </c>
      <c r="D45">
        <v>4.29</v>
      </c>
      <c r="E45">
        <v>37.17</v>
      </c>
      <c r="F45">
        <v>34.479999999999997</v>
      </c>
      <c r="G45">
        <f t="shared" si="0"/>
        <v>15.18000000000001</v>
      </c>
    </row>
    <row r="46" spans="1:7">
      <c r="A46" s="3">
        <v>45170</v>
      </c>
      <c r="B46">
        <v>37</v>
      </c>
      <c r="C46">
        <v>5.26</v>
      </c>
      <c r="D46">
        <v>4.18</v>
      </c>
      <c r="E46">
        <v>38.36</v>
      </c>
      <c r="F46">
        <v>39.86</v>
      </c>
      <c r="G46">
        <f t="shared" si="0"/>
        <v>18.04000000000001</v>
      </c>
    </row>
    <row r="47" spans="1:7">
      <c r="A47" s="3">
        <v>45200</v>
      </c>
      <c r="B47">
        <v>30.13</v>
      </c>
      <c r="C47">
        <v>5.07</v>
      </c>
      <c r="D47">
        <v>4.47</v>
      </c>
      <c r="E47">
        <v>33.11</v>
      </c>
      <c r="F47">
        <v>31.1</v>
      </c>
      <c r="G47">
        <f t="shared" si="0"/>
        <v>19.010000000000012</v>
      </c>
    </row>
    <row r="48" spans="1:7">
      <c r="A48" s="3">
        <v>45231</v>
      </c>
      <c r="B48">
        <v>30.01</v>
      </c>
      <c r="C48">
        <v>5.75</v>
      </c>
      <c r="D48">
        <v>4.79</v>
      </c>
      <c r="E48">
        <v>32.64</v>
      </c>
      <c r="F48">
        <v>34.590000000000003</v>
      </c>
      <c r="G48">
        <f t="shared" si="0"/>
        <v>23.590000000000014</v>
      </c>
    </row>
    <row r="49" spans="1:7">
      <c r="A49" s="3">
        <v>45261</v>
      </c>
      <c r="B49">
        <v>33.06</v>
      </c>
      <c r="C49">
        <v>5.47</v>
      </c>
      <c r="D49">
        <v>4.93</v>
      </c>
      <c r="E49">
        <v>35.17</v>
      </c>
      <c r="F49">
        <v>36.99</v>
      </c>
      <c r="G49">
        <f t="shared" si="0"/>
        <v>27.520000000000014</v>
      </c>
    </row>
    <row r="50" spans="1:7">
      <c r="A50" s="3">
        <v>45292</v>
      </c>
      <c r="B50">
        <v>38.96</v>
      </c>
      <c r="C50">
        <v>5.46</v>
      </c>
      <c r="D50">
        <v>4.79</v>
      </c>
      <c r="E50">
        <v>39.19</v>
      </c>
      <c r="F50">
        <v>40.65</v>
      </c>
      <c r="G50">
        <f t="shared" si="0"/>
        <v>29.210000000000012</v>
      </c>
    </row>
    <row r="51" spans="1:7">
      <c r="A51" s="3">
        <v>45323</v>
      </c>
      <c r="B51">
        <v>39.94</v>
      </c>
      <c r="C51">
        <v>5.62</v>
      </c>
      <c r="D51">
        <v>4.6100000000000003</v>
      </c>
      <c r="E51">
        <v>41.15</v>
      </c>
      <c r="F51">
        <v>36.42</v>
      </c>
      <c r="G51">
        <f t="shared" si="0"/>
        <v>25.690000000000015</v>
      </c>
    </row>
    <row r="52" spans="1:7">
      <c r="A52" s="3">
        <v>45352</v>
      </c>
      <c r="B52">
        <v>31.03</v>
      </c>
      <c r="C52">
        <v>5.05</v>
      </c>
      <c r="D52">
        <v>4.41</v>
      </c>
      <c r="E52">
        <v>35.270000000000003</v>
      </c>
      <c r="F52">
        <v>30.6</v>
      </c>
      <c r="G52">
        <f t="shared" si="0"/>
        <v>25.260000000000016</v>
      </c>
    </row>
    <row r="53" spans="1:7">
      <c r="A53" s="3">
        <v>45383</v>
      </c>
      <c r="B53">
        <v>30.87</v>
      </c>
      <c r="C53">
        <v>5.01</v>
      </c>
      <c r="D53">
        <v>4.4800000000000004</v>
      </c>
      <c r="E53">
        <v>31.75</v>
      </c>
      <c r="F53">
        <v>30.88</v>
      </c>
      <c r="G53">
        <f t="shared" si="0"/>
        <v>25.270000000000014</v>
      </c>
    </row>
    <row r="54" spans="1:7">
      <c r="A54" s="3">
        <v>45413</v>
      </c>
      <c r="B54">
        <v>34.47</v>
      </c>
      <c r="C54">
        <v>5.45</v>
      </c>
      <c r="D54">
        <v>4.2699999999999996</v>
      </c>
      <c r="E54">
        <v>41.04</v>
      </c>
      <c r="F54">
        <v>37.549999999999997</v>
      </c>
      <c r="G54">
        <f t="shared" si="0"/>
        <v>28.350000000000012</v>
      </c>
    </row>
    <row r="55" spans="1:7">
      <c r="A55" s="3">
        <v>45444</v>
      </c>
      <c r="B55">
        <v>43.06</v>
      </c>
      <c r="C55">
        <v>5.63</v>
      </c>
      <c r="D55">
        <v>4.0599999999999996</v>
      </c>
      <c r="E55">
        <v>43.28</v>
      </c>
      <c r="F55">
        <v>38.53</v>
      </c>
      <c r="G55">
        <f t="shared" si="0"/>
        <v>23.820000000000011</v>
      </c>
    </row>
    <row r="56" spans="1:7">
      <c r="A56" s="3">
        <v>45474</v>
      </c>
      <c r="B56">
        <v>40.590000000000003</v>
      </c>
      <c r="C56">
        <v>5.31</v>
      </c>
      <c r="D56">
        <v>4.57</v>
      </c>
      <c r="E56">
        <v>42.32</v>
      </c>
      <c r="F56">
        <v>42.22</v>
      </c>
      <c r="G56">
        <f t="shared" si="0"/>
        <v>25.450000000000006</v>
      </c>
    </row>
    <row r="57" spans="1:7">
      <c r="A57" s="3">
        <v>45505</v>
      </c>
      <c r="B57">
        <v>34.020000000000003</v>
      </c>
      <c r="C57">
        <v>5.25</v>
      </c>
      <c r="D57">
        <v>4.51</v>
      </c>
      <c r="E57">
        <v>39.04</v>
      </c>
      <c r="F57">
        <v>36.049999999999997</v>
      </c>
      <c r="G57">
        <f t="shared" si="0"/>
        <v>27.48</v>
      </c>
    </row>
  </sheetData>
  <pageMargins left="0.7" right="0.7" top="0.75" bottom="0.75" header="0.3" footer="0.3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C5BDB-0DEB-4286-9F1D-024CC6B181D4}">
  <sheetPr codeName="Sheet2"/>
  <dimension ref="A1:W16"/>
  <sheetViews>
    <sheetView tabSelected="1" topLeftCell="B10" workbookViewId="0">
      <selection activeCell="E11" sqref="E11"/>
    </sheetView>
  </sheetViews>
  <sheetFormatPr baseColWidth="10" defaultColWidth="9.1640625" defaultRowHeight="15"/>
  <cols>
    <col min="1" max="16384" width="9.1640625" style="1"/>
  </cols>
  <sheetData>
    <row r="1" spans="1:23">
      <c r="A1" s="5"/>
      <c r="B1" s="4"/>
      <c r="C1" s="4"/>
      <c r="D1" s="4"/>
      <c r="E1" s="4"/>
      <c r="F1" s="4"/>
      <c r="G1" s="4"/>
      <c r="H1" s="4"/>
      <c r="I1" s="4"/>
      <c r="J1" s="4"/>
      <c r="K1" s="4"/>
    </row>
    <row r="2" spans="1:23">
      <c r="A2" s="6"/>
    </row>
    <row r="3" spans="1:23">
      <c r="A3" s="6"/>
    </row>
    <row r="4" spans="1:23">
      <c r="A4" s="6"/>
    </row>
    <row r="5" spans="1:23">
      <c r="A5" s="6"/>
    </row>
    <row r="6" spans="1:23">
      <c r="A6" s="6"/>
    </row>
    <row r="7" spans="1:23">
      <c r="A7" s="6"/>
    </row>
    <row r="8" spans="1:23">
      <c r="A8" s="6"/>
    </row>
    <row r="9" spans="1:23">
      <c r="A9" s="6"/>
    </row>
    <row r="10" spans="1:23" ht="33">
      <c r="A10" s="6"/>
      <c r="I10" s="7"/>
      <c r="J10" s="7"/>
      <c r="K10" s="8"/>
    </row>
    <row r="11" spans="1:23" ht="33">
      <c r="A11" s="6"/>
      <c r="I11" s="9"/>
      <c r="J11" s="9"/>
      <c r="K11" s="10"/>
    </row>
    <row r="12" spans="1:23" ht="33">
      <c r="A12" s="6"/>
      <c r="I12" s="9"/>
      <c r="J12" s="9"/>
      <c r="K12" s="10"/>
      <c r="W12" s="4"/>
    </row>
    <row r="13" spans="1:23" ht="33">
      <c r="A13" s="6"/>
      <c r="I13" s="4"/>
      <c r="J13" s="4"/>
      <c r="K13" s="10"/>
      <c r="L13" s="10"/>
    </row>
    <row r="14" spans="1:23" ht="17">
      <c r="A14" s="6"/>
      <c r="I14" s="9"/>
      <c r="J14" s="9"/>
      <c r="K14" s="11"/>
      <c r="L14" s="11"/>
    </row>
    <row r="15" spans="1:23" ht="33">
      <c r="A15" s="6"/>
      <c r="K15" s="8"/>
      <c r="L15" s="8"/>
    </row>
    <row r="16" spans="1:23" ht="16">
      <c r="A16" s="6"/>
      <c r="K16" s="11"/>
      <c r="L16" s="11"/>
    </row>
  </sheetData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3" name="Button 5">
              <controlPr defaultSize="0" print="0" autoFill="0" autoPict="0" macro="[0]!InventoryChart">
                <anchor moveWithCells="1" sizeWithCells="1">
                  <from>
                    <xdr:col>8</xdr:col>
                    <xdr:colOff>292100</xdr:colOff>
                    <xdr:row>18</xdr:row>
                    <xdr:rowOff>0</xdr:rowOff>
                  </from>
                  <to>
                    <xdr:col>11</xdr:col>
                    <xdr:colOff>330200</xdr:colOff>
                    <xdr:row>20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CreateProductionHoldingLineChart">
                <anchor moveWithCells="1" sizeWithCells="1">
                  <from>
                    <xdr:col>12</xdr:col>
                    <xdr:colOff>50800</xdr:colOff>
                    <xdr:row>18</xdr:row>
                    <xdr:rowOff>38100</xdr:rowOff>
                  </from>
                  <to>
                    <xdr:col>14</xdr:col>
                    <xdr:colOff>266700</xdr:colOff>
                    <xdr:row>20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5" name="Button 7">
              <controlPr defaultSize="0" print="0" autoFill="0" autoPict="0" macro="[0]!CreateProductionDemandLineChart">
                <anchor moveWithCells="1" sizeWithCells="1">
                  <from>
                    <xdr:col>15</xdr:col>
                    <xdr:colOff>50800</xdr:colOff>
                    <xdr:row>18</xdr:row>
                    <xdr:rowOff>38100</xdr:rowOff>
                  </from>
                  <to>
                    <xdr:col>17</xdr:col>
                    <xdr:colOff>368300</xdr:colOff>
                    <xdr:row>20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6" name="Button 8">
              <controlPr defaultSize="0" print="0" autoFill="0" autoPict="0" macro="[0]!savingaspdf">
                <anchor moveWithCells="1" sizeWithCells="1">
                  <from>
                    <xdr:col>8</xdr:col>
                    <xdr:colOff>546100</xdr:colOff>
                    <xdr:row>24</xdr:row>
                    <xdr:rowOff>152400</xdr:rowOff>
                  </from>
                  <to>
                    <xdr:col>10</xdr:col>
                    <xdr:colOff>673100</xdr:colOff>
                    <xdr:row>26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EC588-7703-9641-9B11-0DAA140F0310}">
  <sheetPr codeName="Sheet4"/>
  <dimension ref="A1:J16"/>
  <sheetViews>
    <sheetView topLeftCell="D1" zoomScale="67" workbookViewId="0">
      <selection activeCell="B31" sqref="B31"/>
    </sheetView>
  </sheetViews>
  <sheetFormatPr baseColWidth="10" defaultRowHeight="15"/>
  <cols>
    <col min="4" max="4" width="22.6640625" customWidth="1"/>
    <col min="5" max="5" width="15.6640625" customWidth="1"/>
    <col min="6" max="6" width="20.5" customWidth="1"/>
    <col min="7" max="8" width="20.33203125" customWidth="1"/>
    <col min="9" max="9" width="17.83203125" customWidth="1"/>
    <col min="10" max="10" width="21.83203125" customWidth="1"/>
    <col min="11" max="11" width="17.33203125" customWidth="1"/>
    <col min="12" max="12" width="18.6640625" customWidth="1"/>
    <col min="14" max="14" width="18.5" customWidth="1"/>
    <col min="15" max="15" width="21" customWidth="1"/>
    <col min="16" max="16" width="19" customWidth="1"/>
  </cols>
  <sheetData>
    <row r="1" spans="1:10">
      <c r="A1" s="2" t="s">
        <v>1</v>
      </c>
      <c r="B1" t="s">
        <v>2</v>
      </c>
      <c r="C1" t="s">
        <v>7</v>
      </c>
      <c r="D1" t="s">
        <v>3</v>
      </c>
      <c r="E1" t="s">
        <v>4</v>
      </c>
      <c r="F1" t="s">
        <v>5</v>
      </c>
      <c r="G1" t="s">
        <v>6</v>
      </c>
      <c r="H1" t="s">
        <v>8</v>
      </c>
      <c r="I1" t="s">
        <v>0</v>
      </c>
      <c r="J1" t="s">
        <v>9</v>
      </c>
    </row>
    <row r="2" spans="1:10">
      <c r="A2" s="3">
        <v>45078</v>
      </c>
      <c r="B2">
        <v>28.08</v>
      </c>
      <c r="D2">
        <v>5.22</v>
      </c>
      <c r="E2">
        <v>4.83</v>
      </c>
      <c r="F2">
        <v>28.63</v>
      </c>
      <c r="G2">
        <v>23.4</v>
      </c>
      <c r="I2">
        <v>10.780000000000012</v>
      </c>
    </row>
    <row r="3" spans="1:10">
      <c r="A3" s="3">
        <v>45108</v>
      </c>
      <c r="B3">
        <v>27.98</v>
      </c>
      <c r="D3">
        <v>5.33</v>
      </c>
      <c r="E3">
        <v>4.0999999999999996</v>
      </c>
      <c r="F3">
        <v>33.35</v>
      </c>
      <c r="G3">
        <v>31.51</v>
      </c>
      <c r="I3">
        <v>14.310000000000013</v>
      </c>
    </row>
    <row r="4" spans="1:10">
      <c r="A4" s="3">
        <v>45139</v>
      </c>
      <c r="B4">
        <v>33.61</v>
      </c>
      <c r="D4">
        <v>5.12</v>
      </c>
      <c r="E4">
        <v>4.29</v>
      </c>
      <c r="F4">
        <v>37.17</v>
      </c>
      <c r="G4">
        <v>34.479999999999997</v>
      </c>
      <c r="I4">
        <v>15.18000000000001</v>
      </c>
    </row>
    <row r="5" spans="1:10">
      <c r="A5" s="3">
        <v>45170</v>
      </c>
      <c r="B5">
        <v>37</v>
      </c>
      <c r="D5">
        <v>5.26</v>
      </c>
      <c r="E5">
        <v>4.18</v>
      </c>
      <c r="F5">
        <v>38.36</v>
      </c>
      <c r="G5">
        <v>39.86</v>
      </c>
      <c r="I5">
        <v>18.04000000000001</v>
      </c>
    </row>
    <row r="6" spans="1:10">
      <c r="A6" s="3">
        <v>45200</v>
      </c>
      <c r="B6">
        <v>30.13</v>
      </c>
      <c r="D6">
        <v>5.07</v>
      </c>
      <c r="E6">
        <v>4.47</v>
      </c>
      <c r="F6">
        <v>33.11</v>
      </c>
      <c r="G6">
        <v>31.1</v>
      </c>
      <c r="I6">
        <v>19.010000000000012</v>
      </c>
    </row>
    <row r="7" spans="1:10">
      <c r="A7" s="3">
        <v>45231</v>
      </c>
      <c r="B7">
        <v>30.01</v>
      </c>
      <c r="D7">
        <v>5.75</v>
      </c>
      <c r="E7">
        <v>4.79</v>
      </c>
      <c r="F7">
        <v>32.64</v>
      </c>
      <c r="G7">
        <v>34.590000000000003</v>
      </c>
      <c r="I7">
        <v>23.590000000000014</v>
      </c>
    </row>
    <row r="8" spans="1:10">
      <c r="A8" s="3">
        <v>45261</v>
      </c>
      <c r="B8">
        <v>33.06</v>
      </c>
      <c r="D8">
        <v>5.47</v>
      </c>
      <c r="E8">
        <v>4.93</v>
      </c>
      <c r="F8">
        <v>35.17</v>
      </c>
      <c r="G8">
        <v>36.99</v>
      </c>
      <c r="I8">
        <v>27.520000000000014</v>
      </c>
    </row>
    <row r="9" spans="1:10">
      <c r="A9" s="3">
        <v>45292</v>
      </c>
      <c r="B9">
        <v>38.96</v>
      </c>
      <c r="D9">
        <v>5.46</v>
      </c>
      <c r="E9">
        <v>4.79</v>
      </c>
      <c r="F9">
        <v>39.19</v>
      </c>
      <c r="G9">
        <v>40.65</v>
      </c>
      <c r="I9">
        <v>29.210000000000012</v>
      </c>
    </row>
    <row r="10" spans="1:10">
      <c r="A10" s="3">
        <v>45323</v>
      </c>
      <c r="B10">
        <v>39.94</v>
      </c>
      <c r="D10">
        <v>5.62</v>
      </c>
      <c r="E10">
        <v>4.6100000000000003</v>
      </c>
      <c r="F10">
        <v>41.15</v>
      </c>
      <c r="G10">
        <v>36.42</v>
      </c>
      <c r="I10">
        <v>25.690000000000015</v>
      </c>
    </row>
    <row r="11" spans="1:10">
      <c r="A11" s="3">
        <v>45352</v>
      </c>
      <c r="B11">
        <v>31.03</v>
      </c>
      <c r="D11">
        <v>5.05</v>
      </c>
      <c r="E11">
        <v>4.41</v>
      </c>
      <c r="F11">
        <v>35.270000000000003</v>
      </c>
      <c r="G11">
        <v>30.6</v>
      </c>
      <c r="I11">
        <v>25.260000000000016</v>
      </c>
    </row>
    <row r="12" spans="1:10">
      <c r="A12" s="3">
        <v>45383</v>
      </c>
      <c r="B12">
        <v>30.87</v>
      </c>
      <c r="D12">
        <v>5.01</v>
      </c>
      <c r="E12">
        <v>4.4800000000000004</v>
      </c>
      <c r="F12">
        <v>31.75</v>
      </c>
      <c r="G12">
        <v>30.88</v>
      </c>
      <c r="I12">
        <v>25.270000000000014</v>
      </c>
    </row>
    <row r="13" spans="1:10">
      <c r="A13" s="3">
        <v>45413</v>
      </c>
      <c r="B13">
        <v>34.47</v>
      </c>
      <c r="C13">
        <v>34.47</v>
      </c>
      <c r="D13">
        <v>5.45</v>
      </c>
      <c r="E13">
        <v>4.2699999999999996</v>
      </c>
      <c r="F13">
        <v>41.04</v>
      </c>
      <c r="G13">
        <v>37.549999999999997</v>
      </c>
      <c r="H13">
        <v>37.549999999999997</v>
      </c>
      <c r="I13">
        <v>28.350000000000012</v>
      </c>
      <c r="J13">
        <v>28.350000000000012</v>
      </c>
    </row>
    <row r="14" spans="1:10">
      <c r="A14" s="3">
        <v>45444</v>
      </c>
      <c r="C14">
        <v>43.06</v>
      </c>
      <c r="D14">
        <v>5.63</v>
      </c>
      <c r="E14">
        <v>4.0599999999999996</v>
      </c>
      <c r="F14">
        <v>43.28</v>
      </c>
      <c r="H14">
        <v>38.53</v>
      </c>
      <c r="J14">
        <v>23.820000000000011</v>
      </c>
    </row>
    <row r="15" spans="1:10">
      <c r="A15" s="3">
        <v>45474</v>
      </c>
      <c r="C15">
        <v>40.590000000000003</v>
      </c>
      <c r="D15">
        <v>5.31</v>
      </c>
      <c r="E15">
        <v>4.57</v>
      </c>
      <c r="F15">
        <v>42.32</v>
      </c>
      <c r="H15">
        <v>42.22</v>
      </c>
      <c r="J15">
        <v>25.450000000000006</v>
      </c>
    </row>
    <row r="16" spans="1:10">
      <c r="A16" s="3">
        <v>45505</v>
      </c>
      <c r="C16">
        <v>34.020000000000003</v>
      </c>
      <c r="D16">
        <v>5.25</v>
      </c>
      <c r="E16">
        <v>4.51</v>
      </c>
      <c r="F16">
        <v>39.04</v>
      </c>
      <c r="H16">
        <v>36.049999999999997</v>
      </c>
      <c r="J16">
        <v>27.48</v>
      </c>
    </row>
  </sheetData>
  <pageMargins left="0.7" right="0.7" top="0.75" bottom="0.75" header="0.3" footer="0.3"/>
  <pageSetup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9E591-3CFD-7140-9606-903A1606161E}">
  <sheetPr codeName="Sheet3">
    <pageSetUpPr fitToPage="1"/>
  </sheetPr>
  <dimension ref="B4:H53"/>
  <sheetViews>
    <sheetView zoomScaleNormal="100" workbookViewId="0">
      <selection activeCell="D21" sqref="D21"/>
    </sheetView>
  </sheetViews>
  <sheetFormatPr baseColWidth="10" defaultRowHeight="15"/>
  <cols>
    <col min="1" max="5" width="10.83203125" style="4"/>
    <col min="6" max="6" width="13.83203125" style="4" customWidth="1"/>
    <col min="7" max="7" width="14.6640625" style="4" customWidth="1"/>
    <col min="8" max="16384" width="10.83203125" style="4"/>
  </cols>
  <sheetData>
    <row r="4" spans="2:8">
      <c r="B4" s="4" t="s">
        <v>10</v>
      </c>
    </row>
    <row r="7" spans="2:8">
      <c r="B7" s="4" t="s">
        <v>11</v>
      </c>
    </row>
    <row r="9" spans="2:8">
      <c r="B9" s="4" t="s">
        <v>12</v>
      </c>
    </row>
    <row r="11" spans="2:8">
      <c r="E11" s="14" t="s">
        <v>13</v>
      </c>
      <c r="F11" s="16" t="s">
        <v>3</v>
      </c>
      <c r="G11" s="19" t="s">
        <v>14</v>
      </c>
      <c r="H11" s="12" t="s">
        <v>15</v>
      </c>
    </row>
    <row r="12" spans="2:8">
      <c r="D12" s="6">
        <v>45444</v>
      </c>
      <c r="E12" s="14">
        <v>38.53</v>
      </c>
      <c r="F12" s="17">
        <v>216.92</v>
      </c>
      <c r="G12" s="20">
        <v>96.71</v>
      </c>
      <c r="H12" s="13">
        <v>313.63</v>
      </c>
    </row>
    <row r="13" spans="2:8">
      <c r="D13" s="6">
        <v>45474</v>
      </c>
      <c r="E13" s="14">
        <v>42.22</v>
      </c>
      <c r="F13" s="17">
        <v>224.19</v>
      </c>
      <c r="G13" s="20">
        <v>116.31</v>
      </c>
      <c r="H13" s="13">
        <v>340.49</v>
      </c>
    </row>
    <row r="14" spans="2:8">
      <c r="D14" s="6">
        <v>45505</v>
      </c>
      <c r="E14" s="14">
        <v>36.049999999999997</v>
      </c>
      <c r="F14" s="17">
        <v>189.26</v>
      </c>
      <c r="G14" s="20">
        <v>123.93</v>
      </c>
      <c r="H14" s="13">
        <v>313.2</v>
      </c>
    </row>
    <row r="15" spans="2:8">
      <c r="E15" s="15">
        <v>116.8</v>
      </c>
      <c r="F15" s="18">
        <v>630.37</v>
      </c>
      <c r="G15" s="21">
        <v>336.95</v>
      </c>
      <c r="H15" s="13">
        <v>967.33</v>
      </c>
    </row>
    <row r="17" spans="2:2">
      <c r="B17" s="4" t="s">
        <v>16</v>
      </c>
    </row>
    <row r="34" spans="2:2">
      <c r="B34" s="4" t="s">
        <v>17</v>
      </c>
    </row>
    <row r="50" spans="2:2">
      <c r="B50" s="4" t="s">
        <v>18</v>
      </c>
    </row>
    <row r="52" spans="2:2">
      <c r="B52" s="4" t="s">
        <v>19</v>
      </c>
    </row>
    <row r="53" spans="2:2">
      <c r="B53" s="4" t="s">
        <v>20</v>
      </c>
    </row>
  </sheetData>
  <pageMargins left="0.7" right="0.7" top="0.75" bottom="0.75" header="0.3" footer="0.3"/>
  <pageSetup scale="57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3</vt:i4>
      </vt:variant>
    </vt:vector>
  </HeadingPairs>
  <TitlesOfParts>
    <vt:vector size="7" baseType="lpstr">
      <vt:lpstr>Data</vt:lpstr>
      <vt:lpstr>Main</vt:lpstr>
      <vt:lpstr>AUX Data</vt:lpstr>
      <vt:lpstr>AUX Report</vt:lpstr>
      <vt:lpstr>Production Holding</vt:lpstr>
      <vt:lpstr>Production Demand</vt:lpstr>
      <vt:lpstr>Inventory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mkarimi</dc:creator>
  <cp:lastModifiedBy>Riya Baidya</cp:lastModifiedBy>
  <cp:lastPrinted>2024-03-14T06:28:17Z</cp:lastPrinted>
  <dcterms:created xsi:type="dcterms:W3CDTF">2024-01-29T10:07:50Z</dcterms:created>
  <dcterms:modified xsi:type="dcterms:W3CDTF">2024-03-14T06:31:54Z</dcterms:modified>
</cp:coreProperties>
</file>