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iya/Desktop/"/>
    </mc:Choice>
  </mc:AlternateContent>
  <xr:revisionPtr revIDLastSave="0" documentId="8_{69B06FA9-A8BA-CE42-90AD-E31702884168}" xr6:coauthVersionLast="47" xr6:coauthVersionMax="47" xr10:uidLastSave="{00000000-0000-0000-0000-000000000000}"/>
  <bookViews>
    <workbookView xWindow="2820" yWindow="1100" windowWidth="31900" windowHeight="19380" activeTab="5" xr2:uid="{00000000-000D-0000-FFFF-FFFF00000000}"/>
  </bookViews>
  <sheets>
    <sheet name="Data" sheetId="1" r:id="rId1"/>
    <sheet name="AUX_Production_Units" sheetId="7" r:id="rId2"/>
    <sheet name="AUX_Demand" sheetId="3" r:id="rId3"/>
    <sheet name="AUX_ProductionCost" sheetId="4" r:id="rId4"/>
    <sheet name="AUX_HoldingCost" sheetId="5" r:id="rId5"/>
    <sheet name="Main" sheetId="6" r:id="rId6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AUX_Production_Units!$J$54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5" i="1" l="1"/>
  <c r="C55" i="1"/>
  <c r="D54" i="1"/>
  <c r="C54" i="1"/>
  <c r="G53" i="1"/>
  <c r="G54" i="1" s="1"/>
  <c r="G55" i="1" s="1"/>
  <c r="D53" i="1"/>
  <c r="C53" i="1"/>
  <c r="B55" i="1"/>
  <c r="B54" i="1"/>
  <c r="B53" i="1"/>
  <c r="G2" i="1"/>
  <c r="G3" i="1" s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2" i="7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7" i="3" l="1"/>
  <c r="G10" i="3"/>
  <c r="G15" i="3"/>
  <c r="G18" i="3"/>
  <c r="G23" i="3"/>
  <c r="G26" i="3"/>
  <c r="G31" i="3"/>
  <c r="G34" i="3"/>
  <c r="G39" i="3"/>
  <c r="G42" i="3"/>
  <c r="G47" i="3"/>
  <c r="F3" i="3"/>
  <c r="F4" i="3"/>
  <c r="F7" i="3"/>
  <c r="F10" i="3"/>
  <c r="F11" i="3"/>
  <c r="F12" i="3"/>
  <c r="F15" i="3"/>
  <c r="F18" i="3"/>
  <c r="F19" i="3"/>
  <c r="F20" i="3"/>
  <c r="F23" i="3"/>
  <c r="F26" i="3"/>
  <c r="F27" i="3"/>
  <c r="F28" i="3"/>
  <c r="F31" i="3"/>
  <c r="F34" i="3"/>
  <c r="F35" i="3"/>
  <c r="F36" i="3"/>
  <c r="F39" i="3"/>
  <c r="F42" i="3"/>
  <c r="F43" i="3"/>
  <c r="F44" i="3"/>
  <c r="F47" i="3"/>
  <c r="F50" i="3"/>
  <c r="F51" i="3"/>
  <c r="F52" i="3"/>
  <c r="E3" i="3"/>
  <c r="E7" i="3"/>
  <c r="E8" i="3"/>
  <c r="E9" i="3"/>
  <c r="E11" i="3"/>
  <c r="E15" i="3"/>
  <c r="E16" i="3"/>
  <c r="E17" i="3"/>
  <c r="E19" i="3"/>
  <c r="E23" i="3"/>
  <c r="E24" i="3"/>
  <c r="E25" i="3"/>
  <c r="E27" i="3"/>
  <c r="E31" i="3"/>
  <c r="E32" i="3"/>
  <c r="E33" i="3"/>
  <c r="E35" i="3"/>
  <c r="E39" i="3"/>
  <c r="E40" i="3"/>
  <c r="E41" i="3"/>
  <c r="E43" i="3"/>
  <c r="E47" i="3"/>
  <c r="E48" i="3"/>
  <c r="E49" i="3"/>
  <c r="E51" i="3"/>
  <c r="C3" i="3"/>
  <c r="G3" i="3" s="1"/>
  <c r="C4" i="3"/>
  <c r="E4" i="3" s="1"/>
  <c r="C5" i="3"/>
  <c r="E5" i="3" s="1"/>
  <c r="C6" i="3"/>
  <c r="E6" i="3" s="1"/>
  <c r="C7" i="3"/>
  <c r="C8" i="3"/>
  <c r="F8" i="3" s="1"/>
  <c r="C9" i="3"/>
  <c r="F9" i="3" s="1"/>
  <c r="C10" i="3"/>
  <c r="E10" i="3" s="1"/>
  <c r="C11" i="3"/>
  <c r="G11" i="3" s="1"/>
  <c r="C12" i="3"/>
  <c r="E12" i="3" s="1"/>
  <c r="C13" i="3"/>
  <c r="E13" i="3" s="1"/>
  <c r="C14" i="3"/>
  <c r="G14" i="3" s="1"/>
  <c r="C15" i="3"/>
  <c r="C16" i="3"/>
  <c r="F16" i="3" s="1"/>
  <c r="C17" i="3"/>
  <c r="F17" i="3" s="1"/>
  <c r="C18" i="3"/>
  <c r="E18" i="3" s="1"/>
  <c r="C19" i="3"/>
  <c r="G19" i="3" s="1"/>
  <c r="C20" i="3"/>
  <c r="E20" i="3" s="1"/>
  <c r="C21" i="3"/>
  <c r="E21" i="3" s="1"/>
  <c r="C22" i="3"/>
  <c r="E22" i="3" s="1"/>
  <c r="C23" i="3"/>
  <c r="C24" i="3"/>
  <c r="F24" i="3" s="1"/>
  <c r="C25" i="3"/>
  <c r="F25" i="3" s="1"/>
  <c r="C26" i="3"/>
  <c r="E26" i="3" s="1"/>
  <c r="C27" i="3"/>
  <c r="G27" i="3" s="1"/>
  <c r="C28" i="3"/>
  <c r="E28" i="3" s="1"/>
  <c r="C29" i="3"/>
  <c r="E29" i="3" s="1"/>
  <c r="C30" i="3"/>
  <c r="E30" i="3" s="1"/>
  <c r="C31" i="3"/>
  <c r="C32" i="3"/>
  <c r="F32" i="3" s="1"/>
  <c r="C33" i="3"/>
  <c r="F33" i="3" s="1"/>
  <c r="C34" i="3"/>
  <c r="E34" i="3" s="1"/>
  <c r="C35" i="3"/>
  <c r="G35" i="3" s="1"/>
  <c r="C36" i="3"/>
  <c r="E36" i="3" s="1"/>
  <c r="C37" i="3"/>
  <c r="E37" i="3" s="1"/>
  <c r="C38" i="3"/>
  <c r="E38" i="3" s="1"/>
  <c r="C39" i="3"/>
  <c r="C40" i="3"/>
  <c r="F40" i="3" s="1"/>
  <c r="C41" i="3"/>
  <c r="F41" i="3" s="1"/>
  <c r="C42" i="3"/>
  <c r="E42" i="3" s="1"/>
  <c r="C43" i="3"/>
  <c r="G43" i="3" s="1"/>
  <c r="C44" i="3"/>
  <c r="E44" i="3" s="1"/>
  <c r="C45" i="3"/>
  <c r="E45" i="3" s="1"/>
  <c r="C46" i="3"/>
  <c r="E46" i="3" s="1"/>
  <c r="C47" i="3"/>
  <c r="C48" i="3"/>
  <c r="F48" i="3" s="1"/>
  <c r="C49" i="3"/>
  <c r="F49" i="3" s="1"/>
  <c r="C50" i="3"/>
  <c r="G50" i="3" s="1"/>
  <c r="C51" i="3"/>
  <c r="G51" i="3" s="1"/>
  <c r="C52" i="3"/>
  <c r="E52" i="3" s="1"/>
  <c r="C2" i="3"/>
  <c r="E2" i="3" s="1"/>
  <c r="F46" i="3" l="1"/>
  <c r="F38" i="3"/>
  <c r="F30" i="3"/>
  <c r="F22" i="3"/>
  <c r="F14" i="3"/>
  <c r="F6" i="3"/>
  <c r="G49" i="3"/>
  <c r="G41" i="3"/>
  <c r="G33" i="3"/>
  <c r="G25" i="3"/>
  <c r="G17" i="3"/>
  <c r="G9" i="3"/>
  <c r="E50" i="3"/>
  <c r="F2" i="3"/>
  <c r="F45" i="3"/>
  <c r="F37" i="3"/>
  <c r="F29" i="3"/>
  <c r="F21" i="3"/>
  <c r="F13" i="3"/>
  <c r="F5" i="3"/>
  <c r="G48" i="3"/>
  <c r="G40" i="3"/>
  <c r="G32" i="3"/>
  <c r="G24" i="3"/>
  <c r="G16" i="3"/>
  <c r="G8" i="3"/>
  <c r="G5" i="3"/>
  <c r="G46" i="3"/>
  <c r="G38" i="3"/>
  <c r="G30" i="3"/>
  <c r="G22" i="3"/>
  <c r="G6" i="3"/>
  <c r="G37" i="3"/>
  <c r="G21" i="3"/>
  <c r="E14" i="3"/>
  <c r="G52" i="3"/>
  <c r="G44" i="3"/>
  <c r="G36" i="3"/>
  <c r="G28" i="3"/>
  <c r="G20" i="3"/>
  <c r="G12" i="3"/>
  <c r="G4" i="3"/>
  <c r="G2" i="3"/>
  <c r="G45" i="3"/>
  <c r="G29" i="3"/>
  <c r="G13" i="3"/>
  <c r="AP6" i="5"/>
  <c r="D54" i="7" s="1"/>
  <c r="AP7" i="5"/>
  <c r="D55" i="7" s="1"/>
  <c r="AP5" i="5"/>
  <c r="AN7" i="5"/>
  <c r="AE6" i="5"/>
  <c r="AE7" i="5"/>
  <c r="AE5" i="5"/>
  <c r="AC7" i="5"/>
  <c r="D53" i="7" s="1"/>
  <c r="AE6" i="4"/>
  <c r="AE7" i="4"/>
  <c r="AE5" i="4"/>
  <c r="AC7" i="4"/>
  <c r="AP6" i="4"/>
  <c r="C54" i="7" s="1"/>
  <c r="AP7" i="4"/>
  <c r="C55" i="7" s="1"/>
  <c r="AP5" i="4"/>
  <c r="AN7" i="4"/>
  <c r="AP6" i="3"/>
  <c r="B54" i="7" s="1"/>
  <c r="G54" i="7" s="1"/>
  <c r="G55" i="7" s="1"/>
  <c r="AP7" i="3"/>
  <c r="B55" i="7" s="1"/>
  <c r="AP5" i="3"/>
  <c r="AN7" i="3"/>
  <c r="AE5" i="3"/>
  <c r="AE6" i="3"/>
  <c r="AE7" i="3"/>
  <c r="AC7" i="3"/>
  <c r="B53" i="7" s="1"/>
  <c r="G53" i="7" s="1"/>
  <c r="C53" i="7" l="1"/>
  <c r="J54" i="7" s="1"/>
  <c r="T3" i="5"/>
  <c r="T11" i="5"/>
  <c r="T18" i="5"/>
  <c r="T19" i="5"/>
  <c r="T27" i="5"/>
  <c r="T33" i="5"/>
  <c r="T35" i="5"/>
  <c r="T43" i="5"/>
  <c r="T49" i="5"/>
  <c r="T50" i="5"/>
  <c r="T51" i="5"/>
  <c r="S4" i="5"/>
  <c r="S5" i="5"/>
  <c r="S12" i="5"/>
  <c r="S13" i="5"/>
  <c r="S14" i="5"/>
  <c r="S20" i="5"/>
  <c r="S21" i="5"/>
  <c r="S22" i="5"/>
  <c r="S28" i="5"/>
  <c r="S29" i="5"/>
  <c r="S36" i="5"/>
  <c r="S37" i="5"/>
  <c r="S38" i="5"/>
  <c r="S39" i="5"/>
  <c r="S44" i="5"/>
  <c r="S45" i="5"/>
  <c r="S52" i="5"/>
  <c r="S2" i="5"/>
  <c r="R3" i="5"/>
  <c r="R4" i="5"/>
  <c r="R5" i="5"/>
  <c r="R11" i="5"/>
  <c r="R12" i="5"/>
  <c r="R13" i="5"/>
  <c r="R19" i="5"/>
  <c r="R20" i="5"/>
  <c r="R21" i="5"/>
  <c r="R27" i="5"/>
  <c r="R28" i="5"/>
  <c r="R29" i="5"/>
  <c r="R35" i="5"/>
  <c r="R36" i="5"/>
  <c r="R37" i="5"/>
  <c r="R43" i="5"/>
  <c r="R44" i="5"/>
  <c r="R45" i="5"/>
  <c r="R49" i="5"/>
  <c r="R50" i="5"/>
  <c r="R51" i="5"/>
  <c r="R52" i="5"/>
  <c r="R2" i="5"/>
  <c r="Q14" i="5"/>
  <c r="Q15" i="5"/>
  <c r="Q23" i="5"/>
  <c r="Q25" i="5"/>
  <c r="Q38" i="5"/>
  <c r="Q39" i="5"/>
  <c r="Q40" i="5"/>
  <c r="Q48" i="5"/>
  <c r="Q49" i="5"/>
  <c r="Q50" i="5"/>
  <c r="P3" i="5"/>
  <c r="P4" i="5"/>
  <c r="P5" i="5"/>
  <c r="P11" i="5"/>
  <c r="P12" i="5"/>
  <c r="P13" i="5"/>
  <c r="P14" i="5"/>
  <c r="P19" i="5"/>
  <c r="P20" i="5"/>
  <c r="P21" i="5"/>
  <c r="P22" i="5"/>
  <c r="P23" i="5"/>
  <c r="P27" i="5"/>
  <c r="P28" i="5"/>
  <c r="P29" i="5"/>
  <c r="P35" i="5"/>
  <c r="P36" i="5"/>
  <c r="P37" i="5"/>
  <c r="P38" i="5"/>
  <c r="P39" i="5"/>
  <c r="P43" i="5"/>
  <c r="P44" i="5"/>
  <c r="P45" i="5"/>
  <c r="P47" i="5"/>
  <c r="P51" i="5"/>
  <c r="P52" i="5"/>
  <c r="P2" i="5"/>
  <c r="O3" i="5"/>
  <c r="O4" i="5"/>
  <c r="O10" i="5"/>
  <c r="O11" i="5"/>
  <c r="O12" i="5"/>
  <c r="O19" i="5"/>
  <c r="O20" i="5"/>
  <c r="O25" i="5"/>
  <c r="O26" i="5"/>
  <c r="O27" i="5"/>
  <c r="O28" i="5"/>
  <c r="O35" i="5"/>
  <c r="O36" i="5"/>
  <c r="O41" i="5"/>
  <c r="O43" i="5"/>
  <c r="O44" i="5"/>
  <c r="O49" i="5"/>
  <c r="O50" i="5"/>
  <c r="O51" i="5"/>
  <c r="O52" i="5"/>
  <c r="N5" i="5"/>
  <c r="N9" i="5"/>
  <c r="N13" i="5"/>
  <c r="N14" i="5"/>
  <c r="N21" i="5"/>
  <c r="N25" i="5"/>
  <c r="N29" i="5"/>
  <c r="N37" i="5"/>
  <c r="N38" i="5"/>
  <c r="N45" i="5"/>
  <c r="N49" i="5"/>
  <c r="N2" i="5"/>
  <c r="M3" i="5"/>
  <c r="M4" i="5"/>
  <c r="M5" i="5"/>
  <c r="M11" i="5"/>
  <c r="M12" i="5"/>
  <c r="M13" i="5"/>
  <c r="M14" i="5"/>
  <c r="M19" i="5"/>
  <c r="M20" i="5"/>
  <c r="M21" i="5"/>
  <c r="M22" i="5"/>
  <c r="M26" i="5"/>
  <c r="M27" i="5"/>
  <c r="M28" i="5"/>
  <c r="M29" i="5"/>
  <c r="M35" i="5"/>
  <c r="M36" i="5"/>
  <c r="M37" i="5"/>
  <c r="M38" i="5"/>
  <c r="M42" i="5"/>
  <c r="M43" i="5"/>
  <c r="M44" i="5"/>
  <c r="M45" i="5"/>
  <c r="M50" i="5"/>
  <c r="M51" i="5"/>
  <c r="M52" i="5"/>
  <c r="M2" i="5"/>
  <c r="L3" i="5"/>
  <c r="L11" i="5"/>
  <c r="L19" i="5"/>
  <c r="L24" i="5"/>
  <c r="L25" i="5"/>
  <c r="L26" i="5"/>
  <c r="L27" i="5"/>
  <c r="L35" i="5"/>
  <c r="L41" i="5"/>
  <c r="L43" i="5"/>
  <c r="L49" i="5"/>
  <c r="L50" i="5"/>
  <c r="L51" i="5"/>
  <c r="K4" i="5"/>
  <c r="K5" i="5"/>
  <c r="K12" i="5"/>
  <c r="K13" i="5"/>
  <c r="K14" i="5"/>
  <c r="K20" i="5"/>
  <c r="K21" i="5"/>
  <c r="K28" i="5"/>
  <c r="K29" i="5"/>
  <c r="K36" i="5"/>
  <c r="K37" i="5"/>
  <c r="K38" i="5"/>
  <c r="K44" i="5"/>
  <c r="K45" i="5"/>
  <c r="K48" i="5"/>
  <c r="K52" i="5"/>
  <c r="K2" i="5"/>
  <c r="J3" i="5"/>
  <c r="J4" i="5"/>
  <c r="J5" i="5"/>
  <c r="J11" i="5"/>
  <c r="J12" i="5"/>
  <c r="J13" i="5"/>
  <c r="J17" i="5"/>
  <c r="J19" i="5"/>
  <c r="J20" i="5"/>
  <c r="J21" i="5"/>
  <c r="J25" i="5"/>
  <c r="J26" i="5"/>
  <c r="J27" i="5"/>
  <c r="J28" i="5"/>
  <c r="J29" i="5"/>
  <c r="J35" i="5"/>
  <c r="J36" i="5"/>
  <c r="J37" i="5"/>
  <c r="J42" i="5"/>
  <c r="J43" i="5"/>
  <c r="J44" i="5"/>
  <c r="J45" i="5"/>
  <c r="J50" i="5"/>
  <c r="J51" i="5"/>
  <c r="J52" i="5"/>
  <c r="J2" i="5"/>
  <c r="H3" i="5"/>
  <c r="Q3" i="5" s="1"/>
  <c r="H4" i="5"/>
  <c r="T4" i="5" s="1"/>
  <c r="H5" i="5"/>
  <c r="O5" i="5" s="1"/>
  <c r="H6" i="5"/>
  <c r="H7" i="5"/>
  <c r="H8" i="5"/>
  <c r="H9" i="5"/>
  <c r="Q9" i="5" s="1"/>
  <c r="H10" i="5"/>
  <c r="Q10" i="5" s="1"/>
  <c r="H11" i="5"/>
  <c r="Q11" i="5" s="1"/>
  <c r="H12" i="5"/>
  <c r="T12" i="5" s="1"/>
  <c r="H13" i="5"/>
  <c r="O13" i="5" s="1"/>
  <c r="H14" i="5"/>
  <c r="H15" i="5"/>
  <c r="H16" i="5"/>
  <c r="H17" i="5"/>
  <c r="T17" i="5" s="1"/>
  <c r="H18" i="5"/>
  <c r="H19" i="5"/>
  <c r="Q19" i="5" s="1"/>
  <c r="H20" i="5"/>
  <c r="T20" i="5" s="1"/>
  <c r="H21" i="5"/>
  <c r="O21" i="5" s="1"/>
  <c r="H22" i="5"/>
  <c r="H23" i="5"/>
  <c r="H24" i="5"/>
  <c r="H25" i="5"/>
  <c r="H26" i="5"/>
  <c r="H27" i="5"/>
  <c r="Q27" i="5" s="1"/>
  <c r="H28" i="5"/>
  <c r="T28" i="5" s="1"/>
  <c r="H29" i="5"/>
  <c r="O29" i="5" s="1"/>
  <c r="H30" i="5"/>
  <c r="H31" i="5"/>
  <c r="H32" i="5"/>
  <c r="H33" i="5"/>
  <c r="H34" i="5"/>
  <c r="H35" i="5"/>
  <c r="Q35" i="5" s="1"/>
  <c r="H36" i="5"/>
  <c r="T36" i="5" s="1"/>
  <c r="H37" i="5"/>
  <c r="O37" i="5" s="1"/>
  <c r="H38" i="5"/>
  <c r="H39" i="5"/>
  <c r="H40" i="5"/>
  <c r="H41" i="5"/>
  <c r="J41" i="5" s="1"/>
  <c r="H42" i="5"/>
  <c r="H43" i="5"/>
  <c r="Q43" i="5" s="1"/>
  <c r="H44" i="5"/>
  <c r="T44" i="5" s="1"/>
  <c r="H45" i="5"/>
  <c r="O45" i="5" s="1"/>
  <c r="H46" i="5"/>
  <c r="H47" i="5"/>
  <c r="H48" i="5"/>
  <c r="H49" i="5"/>
  <c r="H50" i="5"/>
  <c r="H51" i="5"/>
  <c r="Q51" i="5" s="1"/>
  <c r="H52" i="5"/>
  <c r="T52" i="5" s="1"/>
  <c r="H2" i="5"/>
  <c r="O2" i="5" s="1"/>
  <c r="G3" i="5"/>
  <c r="G4" i="5"/>
  <c r="G5" i="5"/>
  <c r="G19" i="5"/>
  <c r="G20" i="5"/>
  <c r="G21" i="5"/>
  <c r="G29" i="5"/>
  <c r="G30" i="5"/>
  <c r="G35" i="5"/>
  <c r="G43" i="5"/>
  <c r="G44" i="5"/>
  <c r="G45" i="5"/>
  <c r="G46" i="5"/>
  <c r="G2" i="5"/>
  <c r="F3" i="5"/>
  <c r="F4" i="5"/>
  <c r="F10" i="5"/>
  <c r="F11" i="5"/>
  <c r="F12" i="5"/>
  <c r="F14" i="5"/>
  <c r="F19" i="5"/>
  <c r="F20" i="5"/>
  <c r="F30" i="5"/>
  <c r="F31" i="5"/>
  <c r="F33" i="5"/>
  <c r="F41" i="5"/>
  <c r="F42" i="5"/>
  <c r="F49" i="5"/>
  <c r="F50" i="5"/>
  <c r="F51" i="5"/>
  <c r="E9" i="5"/>
  <c r="E16" i="5"/>
  <c r="E17" i="5"/>
  <c r="E19" i="5"/>
  <c r="E25" i="5"/>
  <c r="E26" i="5"/>
  <c r="E27" i="5"/>
  <c r="E33" i="5"/>
  <c r="E34" i="5"/>
  <c r="E35" i="5"/>
  <c r="E41" i="5"/>
  <c r="E42" i="5"/>
  <c r="E43" i="5"/>
  <c r="E49" i="5"/>
  <c r="E50" i="5"/>
  <c r="E51" i="5"/>
  <c r="C3" i="5"/>
  <c r="E3" i="5" s="1"/>
  <c r="C4" i="5"/>
  <c r="E4" i="5" s="1"/>
  <c r="C5" i="5"/>
  <c r="C6" i="5"/>
  <c r="G6" i="5" s="1"/>
  <c r="C7" i="5"/>
  <c r="F7" i="5" s="1"/>
  <c r="C8" i="5"/>
  <c r="C9" i="5"/>
  <c r="G9" i="5" s="1"/>
  <c r="C10" i="5"/>
  <c r="C11" i="5"/>
  <c r="G11" i="5" s="1"/>
  <c r="C12" i="5"/>
  <c r="G12" i="5" s="1"/>
  <c r="C13" i="5"/>
  <c r="C14" i="5"/>
  <c r="C15" i="5"/>
  <c r="G15" i="5" s="1"/>
  <c r="C16" i="5"/>
  <c r="C17" i="5"/>
  <c r="G17" i="5" s="1"/>
  <c r="C18" i="5"/>
  <c r="F18" i="5" s="1"/>
  <c r="C19" i="5"/>
  <c r="C20" i="5"/>
  <c r="E20" i="5" s="1"/>
  <c r="C21" i="5"/>
  <c r="C22" i="5"/>
  <c r="C23" i="5"/>
  <c r="F23" i="5" s="1"/>
  <c r="C24" i="5"/>
  <c r="C25" i="5"/>
  <c r="G25" i="5" s="1"/>
  <c r="C26" i="5"/>
  <c r="G26" i="5" s="1"/>
  <c r="C27" i="5"/>
  <c r="G27" i="5" s="1"/>
  <c r="C28" i="5"/>
  <c r="E28" i="5" s="1"/>
  <c r="C29" i="5"/>
  <c r="C30" i="5"/>
  <c r="E30" i="5" s="1"/>
  <c r="C31" i="5"/>
  <c r="E31" i="5" s="1"/>
  <c r="C32" i="5"/>
  <c r="C33" i="5"/>
  <c r="G33" i="5" s="1"/>
  <c r="C34" i="5"/>
  <c r="G34" i="5" s="1"/>
  <c r="C35" i="5"/>
  <c r="F35" i="5" s="1"/>
  <c r="C36" i="5"/>
  <c r="G36" i="5" s="1"/>
  <c r="C37" i="5"/>
  <c r="C38" i="5"/>
  <c r="C39" i="5"/>
  <c r="C40" i="5"/>
  <c r="C41" i="5"/>
  <c r="G41" i="5" s="1"/>
  <c r="C42" i="5"/>
  <c r="G42" i="5" s="1"/>
  <c r="C43" i="5"/>
  <c r="F43" i="5" s="1"/>
  <c r="C44" i="5"/>
  <c r="E44" i="5" s="1"/>
  <c r="C45" i="5"/>
  <c r="C46" i="5"/>
  <c r="C47" i="5"/>
  <c r="C48" i="5"/>
  <c r="C49" i="5"/>
  <c r="G49" i="5" s="1"/>
  <c r="C50" i="5"/>
  <c r="G50" i="5" s="1"/>
  <c r="C51" i="5"/>
  <c r="G51" i="5" s="1"/>
  <c r="C52" i="5"/>
  <c r="F52" i="5" s="1"/>
  <c r="C2" i="5"/>
  <c r="T3" i="4"/>
  <c r="T4" i="4"/>
  <c r="T5" i="4"/>
  <c r="T11" i="4"/>
  <c r="T19" i="4"/>
  <c r="T20" i="4"/>
  <c r="T21" i="4"/>
  <c r="T27" i="4"/>
  <c r="T35" i="4"/>
  <c r="T37" i="4"/>
  <c r="T43" i="4"/>
  <c r="T51" i="4"/>
  <c r="T52" i="4"/>
  <c r="T2" i="4"/>
  <c r="S8" i="4"/>
  <c r="S24" i="4"/>
  <c r="S40" i="4"/>
  <c r="R5" i="4"/>
  <c r="R13" i="4"/>
  <c r="R14" i="4"/>
  <c r="R15" i="4"/>
  <c r="R21" i="4"/>
  <c r="R29" i="4"/>
  <c r="R30" i="4"/>
  <c r="R31" i="4"/>
  <c r="R37" i="4"/>
  <c r="R45" i="4"/>
  <c r="R46" i="4"/>
  <c r="R47" i="4"/>
  <c r="R2" i="4"/>
  <c r="Q11" i="4"/>
  <c r="Q12" i="4"/>
  <c r="Q25" i="4"/>
  <c r="Q35" i="4"/>
  <c r="Q36" i="4"/>
  <c r="Q40" i="4"/>
  <c r="Q51" i="4"/>
  <c r="P5" i="4"/>
  <c r="P13" i="4"/>
  <c r="P14" i="4"/>
  <c r="P16" i="4"/>
  <c r="P23" i="4"/>
  <c r="P24" i="4"/>
  <c r="P29" i="4"/>
  <c r="P30" i="4"/>
  <c r="P37" i="4"/>
  <c r="P38" i="4"/>
  <c r="P39" i="4"/>
  <c r="P2" i="4"/>
  <c r="O11" i="4"/>
  <c r="O12" i="4"/>
  <c r="O13" i="4"/>
  <c r="O14" i="4"/>
  <c r="O21" i="4"/>
  <c r="O22" i="4"/>
  <c r="O27" i="4"/>
  <c r="O29" i="4"/>
  <c r="O37" i="4"/>
  <c r="O38" i="4"/>
  <c r="O43" i="4"/>
  <c r="O51" i="4"/>
  <c r="O2" i="4"/>
  <c r="N3" i="4"/>
  <c r="N11" i="4"/>
  <c r="N15" i="4"/>
  <c r="N31" i="4"/>
  <c r="N35" i="4"/>
  <c r="N38" i="4"/>
  <c r="N39" i="4"/>
  <c r="N46" i="4"/>
  <c r="N47" i="4"/>
  <c r="N48" i="4"/>
  <c r="M5" i="4"/>
  <c r="M6" i="4"/>
  <c r="M8" i="4"/>
  <c r="M13" i="4"/>
  <c r="M14" i="4"/>
  <c r="M16" i="4"/>
  <c r="M21" i="4"/>
  <c r="M22" i="4"/>
  <c r="M24" i="4"/>
  <c r="M29" i="4"/>
  <c r="M30" i="4"/>
  <c r="M32" i="4"/>
  <c r="M37" i="4"/>
  <c r="M38" i="4"/>
  <c r="M40" i="4"/>
  <c r="M45" i="4"/>
  <c r="M46" i="4"/>
  <c r="M48" i="4"/>
  <c r="M2" i="4"/>
  <c r="L3" i="4"/>
  <c r="L5" i="4"/>
  <c r="L11" i="4"/>
  <c r="L13" i="4"/>
  <c r="L19" i="4"/>
  <c r="L21" i="4"/>
  <c r="L27" i="4"/>
  <c r="L29" i="4"/>
  <c r="L35" i="4"/>
  <c r="L37" i="4"/>
  <c r="L43" i="4"/>
  <c r="L45" i="4"/>
  <c r="L51" i="4"/>
  <c r="L2" i="4"/>
  <c r="K5" i="4"/>
  <c r="K6" i="4"/>
  <c r="K7" i="4"/>
  <c r="K8" i="4"/>
  <c r="K13" i="4"/>
  <c r="K14" i="4"/>
  <c r="K15" i="4"/>
  <c r="K16" i="4"/>
  <c r="K21" i="4"/>
  <c r="K22" i="4"/>
  <c r="K23" i="4"/>
  <c r="K24" i="4"/>
  <c r="K29" i="4"/>
  <c r="K30" i="4"/>
  <c r="K31" i="4"/>
  <c r="K32" i="4"/>
  <c r="K37" i="4"/>
  <c r="K38" i="4"/>
  <c r="K39" i="4"/>
  <c r="K40" i="4"/>
  <c r="K45" i="4"/>
  <c r="K46" i="4"/>
  <c r="K47" i="4"/>
  <c r="K48" i="4"/>
  <c r="K2" i="4"/>
  <c r="J3" i="4"/>
  <c r="J4" i="4"/>
  <c r="J5" i="4"/>
  <c r="J6" i="4"/>
  <c r="J7" i="4"/>
  <c r="J11" i="4"/>
  <c r="J12" i="4"/>
  <c r="J13" i="4"/>
  <c r="J14" i="4"/>
  <c r="J15" i="4"/>
  <c r="J19" i="4"/>
  <c r="J20" i="4"/>
  <c r="J21" i="4"/>
  <c r="J22" i="4"/>
  <c r="J23" i="4"/>
  <c r="J27" i="4"/>
  <c r="J28" i="4"/>
  <c r="J29" i="4"/>
  <c r="J30" i="4"/>
  <c r="J31" i="4"/>
  <c r="J35" i="4"/>
  <c r="J36" i="4"/>
  <c r="J37" i="4"/>
  <c r="J38" i="4"/>
  <c r="J39" i="4"/>
  <c r="J43" i="4"/>
  <c r="J45" i="4"/>
  <c r="J46" i="4"/>
  <c r="J47" i="4"/>
  <c r="J51" i="4"/>
  <c r="J52" i="4"/>
  <c r="J2" i="4"/>
  <c r="H3" i="4"/>
  <c r="H4" i="4"/>
  <c r="H5" i="4"/>
  <c r="H6" i="4"/>
  <c r="H7" i="4"/>
  <c r="S7" i="4" s="1"/>
  <c r="H8" i="4"/>
  <c r="P8" i="4" s="1"/>
  <c r="H9" i="4"/>
  <c r="H10" i="4"/>
  <c r="H11" i="4"/>
  <c r="H12" i="4"/>
  <c r="H13" i="4"/>
  <c r="T13" i="4" s="1"/>
  <c r="H14" i="4"/>
  <c r="H15" i="4"/>
  <c r="P15" i="4" s="1"/>
  <c r="H16" i="4"/>
  <c r="Q16" i="4" s="1"/>
  <c r="H17" i="4"/>
  <c r="S17" i="4" s="1"/>
  <c r="H18" i="4"/>
  <c r="H19" i="4"/>
  <c r="H20" i="4"/>
  <c r="H21" i="4"/>
  <c r="P21" i="4" s="1"/>
  <c r="H22" i="4"/>
  <c r="P22" i="4" s="1"/>
  <c r="H23" i="4"/>
  <c r="S23" i="4" s="1"/>
  <c r="H24" i="4"/>
  <c r="Q24" i="4" s="1"/>
  <c r="H25" i="4"/>
  <c r="H26" i="4"/>
  <c r="Q26" i="4" s="1"/>
  <c r="H27" i="4"/>
  <c r="H28" i="4"/>
  <c r="H29" i="4"/>
  <c r="T29" i="4" s="1"/>
  <c r="H30" i="4"/>
  <c r="H31" i="4"/>
  <c r="M31" i="4" s="1"/>
  <c r="H32" i="4"/>
  <c r="L32" i="4" s="1"/>
  <c r="H33" i="4"/>
  <c r="S33" i="4" s="1"/>
  <c r="H34" i="4"/>
  <c r="H35" i="4"/>
  <c r="H36" i="4"/>
  <c r="H37" i="4"/>
  <c r="H38" i="4"/>
  <c r="H39" i="4"/>
  <c r="S39" i="4" s="1"/>
  <c r="H40" i="4"/>
  <c r="P40" i="4" s="1"/>
  <c r="H41" i="4"/>
  <c r="H42" i="4"/>
  <c r="L42" i="4" s="1"/>
  <c r="H43" i="4"/>
  <c r="H44" i="4"/>
  <c r="H45" i="4"/>
  <c r="T45" i="4" s="1"/>
  <c r="H46" i="4"/>
  <c r="O46" i="4" s="1"/>
  <c r="H47" i="4"/>
  <c r="M47" i="4" s="1"/>
  <c r="H48" i="4"/>
  <c r="P48" i="4" s="1"/>
  <c r="H49" i="4"/>
  <c r="S49" i="4" s="1"/>
  <c r="H50" i="4"/>
  <c r="L50" i="4" s="1"/>
  <c r="H51" i="4"/>
  <c r="H52" i="4"/>
  <c r="H2" i="4"/>
  <c r="G7" i="4"/>
  <c r="G9" i="4"/>
  <c r="G15" i="4"/>
  <c r="G17" i="4"/>
  <c r="G23" i="4"/>
  <c r="G25" i="4"/>
  <c r="G31" i="4"/>
  <c r="G33" i="4"/>
  <c r="G39" i="4"/>
  <c r="G41" i="4"/>
  <c r="G47" i="4"/>
  <c r="G49" i="4"/>
  <c r="F3" i="4"/>
  <c r="F4" i="4"/>
  <c r="F9" i="4"/>
  <c r="F10" i="4"/>
  <c r="F11" i="4"/>
  <c r="F12" i="4"/>
  <c r="F17" i="4"/>
  <c r="F18" i="4"/>
  <c r="F19" i="4"/>
  <c r="F20" i="4"/>
  <c r="F25" i="4"/>
  <c r="F26" i="4"/>
  <c r="F27" i="4"/>
  <c r="F28" i="4"/>
  <c r="F33" i="4"/>
  <c r="F34" i="4"/>
  <c r="F35" i="4"/>
  <c r="F36" i="4"/>
  <c r="F41" i="4"/>
  <c r="F42" i="4"/>
  <c r="F43" i="4"/>
  <c r="F44" i="4"/>
  <c r="F49" i="4"/>
  <c r="F50" i="4"/>
  <c r="F51" i="4"/>
  <c r="F52" i="4"/>
  <c r="E3" i="4"/>
  <c r="E7" i="4"/>
  <c r="E8" i="4"/>
  <c r="E9" i="4"/>
  <c r="E10" i="4"/>
  <c r="E11" i="4"/>
  <c r="E15" i="4"/>
  <c r="E16" i="4"/>
  <c r="E17" i="4"/>
  <c r="E18" i="4"/>
  <c r="E19" i="4"/>
  <c r="E23" i="4"/>
  <c r="E25" i="4"/>
  <c r="E26" i="4"/>
  <c r="E27" i="4"/>
  <c r="E31" i="4"/>
  <c r="E32" i="4"/>
  <c r="E33" i="4"/>
  <c r="E34" i="4"/>
  <c r="E35" i="4"/>
  <c r="E39" i="4"/>
  <c r="E40" i="4"/>
  <c r="E41" i="4"/>
  <c r="E42" i="4"/>
  <c r="E43" i="4"/>
  <c r="E47" i="4"/>
  <c r="E49" i="4"/>
  <c r="E50" i="4"/>
  <c r="E51" i="4"/>
  <c r="C3" i="4"/>
  <c r="G3" i="4" s="1"/>
  <c r="C4" i="4"/>
  <c r="E4" i="4" s="1"/>
  <c r="C5" i="4"/>
  <c r="C6" i="4"/>
  <c r="E6" i="4" s="1"/>
  <c r="C7" i="4"/>
  <c r="F7" i="4" s="1"/>
  <c r="C8" i="4"/>
  <c r="C9" i="4"/>
  <c r="C10" i="4"/>
  <c r="G10" i="4" s="1"/>
  <c r="C11" i="4"/>
  <c r="G11" i="4" s="1"/>
  <c r="C12" i="4"/>
  <c r="E12" i="4" s="1"/>
  <c r="C13" i="4"/>
  <c r="C14" i="4"/>
  <c r="E14" i="4" s="1"/>
  <c r="C15" i="4"/>
  <c r="F15" i="4" s="1"/>
  <c r="C16" i="4"/>
  <c r="C17" i="4"/>
  <c r="C18" i="4"/>
  <c r="G18" i="4" s="1"/>
  <c r="C19" i="4"/>
  <c r="G19" i="4" s="1"/>
  <c r="C20" i="4"/>
  <c r="E20" i="4" s="1"/>
  <c r="C21" i="4"/>
  <c r="C22" i="4"/>
  <c r="E22" i="4" s="1"/>
  <c r="C23" i="4"/>
  <c r="F23" i="4" s="1"/>
  <c r="C24" i="4"/>
  <c r="C25" i="4"/>
  <c r="C26" i="4"/>
  <c r="G26" i="4" s="1"/>
  <c r="C27" i="4"/>
  <c r="G27" i="4" s="1"/>
  <c r="C28" i="4"/>
  <c r="E28" i="4" s="1"/>
  <c r="C29" i="4"/>
  <c r="C30" i="4"/>
  <c r="E30" i="4" s="1"/>
  <c r="C31" i="4"/>
  <c r="F31" i="4" s="1"/>
  <c r="C32" i="4"/>
  <c r="C33" i="4"/>
  <c r="C34" i="4"/>
  <c r="G34" i="4" s="1"/>
  <c r="C35" i="4"/>
  <c r="G35" i="4" s="1"/>
  <c r="C36" i="4"/>
  <c r="E36" i="4" s="1"/>
  <c r="C37" i="4"/>
  <c r="C38" i="4"/>
  <c r="E38" i="4" s="1"/>
  <c r="C39" i="4"/>
  <c r="F39" i="4" s="1"/>
  <c r="C40" i="4"/>
  <c r="C41" i="4"/>
  <c r="C42" i="4"/>
  <c r="G42" i="4" s="1"/>
  <c r="C43" i="4"/>
  <c r="G43" i="4" s="1"/>
  <c r="C44" i="4"/>
  <c r="E44" i="4" s="1"/>
  <c r="C45" i="4"/>
  <c r="C46" i="4"/>
  <c r="E46" i="4" s="1"/>
  <c r="C47" i="4"/>
  <c r="F47" i="4" s="1"/>
  <c r="C48" i="4"/>
  <c r="E48" i="4" s="1"/>
  <c r="C49" i="4"/>
  <c r="C50" i="4"/>
  <c r="G50" i="4" s="1"/>
  <c r="C51" i="4"/>
  <c r="G51" i="4" s="1"/>
  <c r="C52" i="4"/>
  <c r="E52" i="4" s="1"/>
  <c r="C2" i="4"/>
  <c r="R25" i="4" l="1"/>
  <c r="O25" i="4"/>
  <c r="T25" i="4"/>
  <c r="S25" i="4"/>
  <c r="M25" i="4"/>
  <c r="L25" i="4"/>
  <c r="J25" i="4"/>
  <c r="K25" i="4"/>
  <c r="F14" i="4"/>
  <c r="P25" i="4"/>
  <c r="F46" i="4"/>
  <c r="P34" i="4"/>
  <c r="R34" i="4"/>
  <c r="O34" i="4"/>
  <c r="M34" i="4"/>
  <c r="T34" i="4"/>
  <c r="Q34" i="4"/>
  <c r="N34" i="4"/>
  <c r="J34" i="4"/>
  <c r="K34" i="4"/>
  <c r="P10" i="4"/>
  <c r="R10" i="4"/>
  <c r="N10" i="4"/>
  <c r="S10" i="4"/>
  <c r="M10" i="4"/>
  <c r="O10" i="4"/>
  <c r="J10" i="4"/>
  <c r="Q10" i="4"/>
  <c r="T10" i="4"/>
  <c r="K10" i="4"/>
  <c r="S50" i="4"/>
  <c r="E37" i="4"/>
  <c r="G37" i="4"/>
  <c r="F37" i="4"/>
  <c r="E13" i="4"/>
  <c r="G13" i="4"/>
  <c r="F13" i="4"/>
  <c r="F30" i="4"/>
  <c r="R49" i="4"/>
  <c r="O49" i="4"/>
  <c r="T49" i="4"/>
  <c r="M49" i="4"/>
  <c r="L49" i="4"/>
  <c r="J49" i="4"/>
  <c r="Q49" i="4"/>
  <c r="N49" i="4"/>
  <c r="K49" i="4"/>
  <c r="R17" i="4"/>
  <c r="O17" i="4"/>
  <c r="T17" i="4"/>
  <c r="P17" i="4"/>
  <c r="M17" i="4"/>
  <c r="J17" i="4"/>
  <c r="L17" i="4"/>
  <c r="K17" i="4"/>
  <c r="Q17" i="4"/>
  <c r="N17" i="4"/>
  <c r="L34" i="4"/>
  <c r="L10" i="4"/>
  <c r="F38" i="4"/>
  <c r="G6" i="4"/>
  <c r="F6" i="4"/>
  <c r="P50" i="4"/>
  <c r="R50" i="4"/>
  <c r="M50" i="4"/>
  <c r="T50" i="4"/>
  <c r="J50" i="4"/>
  <c r="O50" i="4"/>
  <c r="N50" i="4"/>
  <c r="K50" i="4"/>
  <c r="P26" i="4"/>
  <c r="R26" i="4"/>
  <c r="S26" i="4"/>
  <c r="M26" i="4"/>
  <c r="J26" i="4"/>
  <c r="T26" i="4"/>
  <c r="K26" i="4"/>
  <c r="E45" i="4"/>
  <c r="G45" i="4"/>
  <c r="F45" i="4"/>
  <c r="E21" i="4"/>
  <c r="G21" i="4"/>
  <c r="F21" i="4"/>
  <c r="R41" i="4"/>
  <c r="O41" i="4"/>
  <c r="T41" i="4"/>
  <c r="S41" i="4"/>
  <c r="M41" i="4"/>
  <c r="J41" i="4"/>
  <c r="L41" i="4"/>
  <c r="Q41" i="4"/>
  <c r="K41" i="4"/>
  <c r="P41" i="4"/>
  <c r="N41" i="4"/>
  <c r="R9" i="4"/>
  <c r="O9" i="4"/>
  <c r="T9" i="4"/>
  <c r="S9" i="4"/>
  <c r="M9" i="4"/>
  <c r="J9" i="4"/>
  <c r="P9" i="4"/>
  <c r="Q9" i="4"/>
  <c r="N9" i="4"/>
  <c r="L9" i="4"/>
  <c r="K9" i="4"/>
  <c r="N25" i="4"/>
  <c r="G30" i="4"/>
  <c r="Q50" i="4"/>
  <c r="S34" i="4"/>
  <c r="G46" i="4"/>
  <c r="L26" i="4"/>
  <c r="O26" i="4"/>
  <c r="P49" i="4"/>
  <c r="G48" i="5"/>
  <c r="F48" i="5"/>
  <c r="E48" i="5"/>
  <c r="G40" i="5"/>
  <c r="E40" i="5"/>
  <c r="F40" i="5"/>
  <c r="G32" i="5"/>
  <c r="E32" i="5"/>
  <c r="F32" i="5"/>
  <c r="G24" i="5"/>
  <c r="E24" i="5"/>
  <c r="F24" i="5"/>
  <c r="G16" i="5"/>
  <c r="F16" i="5"/>
  <c r="G8" i="5"/>
  <c r="F8" i="5"/>
  <c r="E8" i="5"/>
  <c r="G38" i="4"/>
  <c r="P42" i="4"/>
  <c r="R42" i="4"/>
  <c r="N42" i="4"/>
  <c r="S42" i="4"/>
  <c r="M42" i="4"/>
  <c r="J42" i="4"/>
  <c r="T42" i="4"/>
  <c r="O42" i="4"/>
  <c r="Q42" i="4"/>
  <c r="K42" i="4"/>
  <c r="P18" i="4"/>
  <c r="R18" i="4"/>
  <c r="Q18" i="4"/>
  <c r="N18" i="4"/>
  <c r="M18" i="4"/>
  <c r="T18" i="4"/>
  <c r="J18" i="4"/>
  <c r="O18" i="4"/>
  <c r="K18" i="4"/>
  <c r="L18" i="4"/>
  <c r="N26" i="4"/>
  <c r="E2" i="4"/>
  <c r="G2" i="4"/>
  <c r="F2" i="4"/>
  <c r="G29" i="4"/>
  <c r="E29" i="4"/>
  <c r="F29" i="4"/>
  <c r="E5" i="4"/>
  <c r="G5" i="4"/>
  <c r="F5" i="4"/>
  <c r="G14" i="4"/>
  <c r="R33" i="4"/>
  <c r="O33" i="4"/>
  <c r="T33" i="4"/>
  <c r="M33" i="4"/>
  <c r="Q33" i="4"/>
  <c r="N33" i="4"/>
  <c r="J33" i="4"/>
  <c r="P33" i="4"/>
  <c r="L33" i="4"/>
  <c r="K33" i="4"/>
  <c r="F48" i="4"/>
  <c r="G48" i="4"/>
  <c r="F40" i="4"/>
  <c r="G40" i="4"/>
  <c r="F32" i="4"/>
  <c r="G32" i="4"/>
  <c r="F24" i="4"/>
  <c r="G24" i="4"/>
  <c r="F16" i="4"/>
  <c r="G16" i="4"/>
  <c r="F8" i="4"/>
  <c r="G8" i="4"/>
  <c r="E24" i="4"/>
  <c r="F22" i="4"/>
  <c r="G22" i="4"/>
  <c r="S52" i="4"/>
  <c r="P52" i="4"/>
  <c r="M52" i="4"/>
  <c r="N52" i="4"/>
  <c r="K52" i="4"/>
  <c r="R52" i="4"/>
  <c r="Q52" i="4"/>
  <c r="L52" i="4"/>
  <c r="S44" i="4"/>
  <c r="P44" i="4"/>
  <c r="T44" i="4"/>
  <c r="O44" i="4"/>
  <c r="Q44" i="4"/>
  <c r="K44" i="4"/>
  <c r="M44" i="4"/>
  <c r="R44" i="4"/>
  <c r="N44" i="4"/>
  <c r="L44" i="4"/>
  <c r="N36" i="4"/>
  <c r="S36" i="4"/>
  <c r="P36" i="4"/>
  <c r="O36" i="4"/>
  <c r="K36" i="4"/>
  <c r="M36" i="4"/>
  <c r="R36" i="4"/>
  <c r="L36" i="4"/>
  <c r="N28" i="4"/>
  <c r="S28" i="4"/>
  <c r="P28" i="4"/>
  <c r="T28" i="4"/>
  <c r="M28" i="4"/>
  <c r="K28" i="4"/>
  <c r="R28" i="4"/>
  <c r="O28" i="4"/>
  <c r="L28" i="4"/>
  <c r="Q28" i="4"/>
  <c r="N20" i="4"/>
  <c r="S20" i="4"/>
  <c r="P20" i="4"/>
  <c r="O20" i="4"/>
  <c r="K20" i="4"/>
  <c r="M20" i="4"/>
  <c r="Q20" i="4"/>
  <c r="R20" i="4"/>
  <c r="L20" i="4"/>
  <c r="N12" i="4"/>
  <c r="S12" i="4"/>
  <c r="P12" i="4"/>
  <c r="T12" i="4"/>
  <c r="K12" i="4"/>
  <c r="R12" i="4"/>
  <c r="M12" i="4"/>
  <c r="L12" i="4"/>
  <c r="J44" i="4"/>
  <c r="O52" i="4"/>
  <c r="S18" i="4"/>
  <c r="T36" i="4"/>
  <c r="G47" i="5"/>
  <c r="F47" i="5"/>
  <c r="E47" i="5"/>
  <c r="G39" i="5"/>
  <c r="E39" i="5"/>
  <c r="F39" i="5"/>
  <c r="N4" i="4"/>
  <c r="S4" i="4"/>
  <c r="P4" i="4"/>
  <c r="O4" i="4"/>
  <c r="P48" i="5"/>
  <c r="M48" i="5"/>
  <c r="R48" i="5"/>
  <c r="J48" i="5"/>
  <c r="O48" i="5"/>
  <c r="L48" i="5"/>
  <c r="P40" i="5"/>
  <c r="M40" i="5"/>
  <c r="R40" i="5"/>
  <c r="J40" i="5"/>
  <c r="T40" i="5"/>
  <c r="S40" i="5"/>
  <c r="P32" i="5"/>
  <c r="M32" i="5"/>
  <c r="R32" i="5"/>
  <c r="J32" i="5"/>
  <c r="O32" i="5"/>
  <c r="L32" i="5"/>
  <c r="Q32" i="5"/>
  <c r="N32" i="5"/>
  <c r="K32" i="5"/>
  <c r="S32" i="5"/>
  <c r="P24" i="5"/>
  <c r="M24" i="5"/>
  <c r="R24" i="5"/>
  <c r="J24" i="5"/>
  <c r="T24" i="5"/>
  <c r="P16" i="5"/>
  <c r="M16" i="5"/>
  <c r="R16" i="5"/>
  <c r="J16" i="5"/>
  <c r="Q16" i="5"/>
  <c r="N16" i="5"/>
  <c r="K16" i="5"/>
  <c r="S16" i="5"/>
  <c r="P8" i="5"/>
  <c r="M8" i="5"/>
  <c r="R8" i="5"/>
  <c r="J8" i="5"/>
  <c r="T8" i="5"/>
  <c r="O8" i="5"/>
  <c r="L8" i="5"/>
  <c r="Q8" i="5"/>
  <c r="N8" i="5"/>
  <c r="K8" i="5"/>
  <c r="N40" i="5"/>
  <c r="S51" i="4"/>
  <c r="P51" i="4"/>
  <c r="R51" i="4"/>
  <c r="S43" i="4"/>
  <c r="P43" i="4"/>
  <c r="R43" i="4"/>
  <c r="S35" i="4"/>
  <c r="P35" i="4"/>
  <c r="R35" i="4"/>
  <c r="S27" i="4"/>
  <c r="P27" i="4"/>
  <c r="R27" i="4"/>
  <c r="S19" i="4"/>
  <c r="P19" i="4"/>
  <c r="R19" i="4"/>
  <c r="S11" i="4"/>
  <c r="P11" i="4"/>
  <c r="R11" i="4"/>
  <c r="S3" i="4"/>
  <c r="P3" i="4"/>
  <c r="R3" i="4"/>
  <c r="L4" i="4"/>
  <c r="M39" i="4"/>
  <c r="M23" i="4"/>
  <c r="M15" i="4"/>
  <c r="M7" i="4"/>
  <c r="N40" i="4"/>
  <c r="N27" i="4"/>
  <c r="N16" i="4"/>
  <c r="O3" i="4"/>
  <c r="Q27" i="4"/>
  <c r="R4" i="4"/>
  <c r="F15" i="5"/>
  <c r="M47" i="5"/>
  <c r="R47" i="5"/>
  <c r="J47" i="5"/>
  <c r="O47" i="5"/>
  <c r="T47" i="5"/>
  <c r="L47" i="5"/>
  <c r="Q47" i="5"/>
  <c r="N47" i="5"/>
  <c r="K47" i="5"/>
  <c r="M39" i="5"/>
  <c r="R39" i="5"/>
  <c r="J39" i="5"/>
  <c r="O39" i="5"/>
  <c r="T39" i="5"/>
  <c r="M31" i="5"/>
  <c r="R31" i="5"/>
  <c r="J31" i="5"/>
  <c r="O31" i="5"/>
  <c r="T31" i="5"/>
  <c r="L31" i="5"/>
  <c r="Q31" i="5"/>
  <c r="N31" i="5"/>
  <c r="K31" i="5"/>
  <c r="S31" i="5"/>
  <c r="P31" i="5"/>
  <c r="M23" i="5"/>
  <c r="R23" i="5"/>
  <c r="J23" i="5"/>
  <c r="O23" i="5"/>
  <c r="T23" i="5"/>
  <c r="L23" i="5"/>
  <c r="M15" i="5"/>
  <c r="R15" i="5"/>
  <c r="J15" i="5"/>
  <c r="O15" i="5"/>
  <c r="T15" i="5"/>
  <c r="S15" i="5"/>
  <c r="P15" i="5"/>
  <c r="M7" i="5"/>
  <c r="R7" i="5"/>
  <c r="J7" i="5"/>
  <c r="O7" i="5"/>
  <c r="T7" i="5"/>
  <c r="L7" i="5"/>
  <c r="Q7" i="5"/>
  <c r="N7" i="5"/>
  <c r="K7" i="5"/>
  <c r="S7" i="5"/>
  <c r="P7" i="5"/>
  <c r="K15" i="5"/>
  <c r="N39" i="5"/>
  <c r="N15" i="5"/>
  <c r="Q24" i="5"/>
  <c r="T32" i="5"/>
  <c r="E15" i="5"/>
  <c r="R40" i="4"/>
  <c r="O40" i="4"/>
  <c r="T40" i="4"/>
  <c r="R16" i="4"/>
  <c r="O16" i="4"/>
  <c r="T16" i="4"/>
  <c r="S16" i="4"/>
  <c r="G38" i="5"/>
  <c r="E38" i="5"/>
  <c r="F38" i="5"/>
  <c r="G22" i="5"/>
  <c r="E22" i="5"/>
  <c r="O24" i="5"/>
  <c r="S48" i="5"/>
  <c r="G52" i="4"/>
  <c r="G44" i="4"/>
  <c r="G36" i="4"/>
  <c r="G28" i="4"/>
  <c r="G20" i="4"/>
  <c r="G12" i="4"/>
  <c r="G4" i="4"/>
  <c r="O47" i="4"/>
  <c r="T47" i="4"/>
  <c r="Q47" i="4"/>
  <c r="O39" i="4"/>
  <c r="T39" i="4"/>
  <c r="Q39" i="4"/>
  <c r="O31" i="4"/>
  <c r="T31" i="4"/>
  <c r="Q31" i="4"/>
  <c r="O23" i="4"/>
  <c r="T23" i="4"/>
  <c r="Q23" i="4"/>
  <c r="O15" i="4"/>
  <c r="T15" i="4"/>
  <c r="Q15" i="4"/>
  <c r="O7" i="4"/>
  <c r="T7" i="4"/>
  <c r="Q7" i="4"/>
  <c r="L48" i="4"/>
  <c r="L40" i="4"/>
  <c r="L24" i="4"/>
  <c r="L16" i="4"/>
  <c r="L8" i="4"/>
  <c r="M51" i="4"/>
  <c r="M43" i="4"/>
  <c r="M35" i="4"/>
  <c r="M27" i="4"/>
  <c r="M19" i="4"/>
  <c r="M11" i="4"/>
  <c r="M3" i="4"/>
  <c r="N23" i="4"/>
  <c r="O35" i="4"/>
  <c r="P47" i="4"/>
  <c r="Q48" i="4"/>
  <c r="S47" i="4"/>
  <c r="S31" i="4"/>
  <c r="S15" i="4"/>
  <c r="F2" i="5"/>
  <c r="E2" i="5"/>
  <c r="F45" i="5"/>
  <c r="E45" i="5"/>
  <c r="F37" i="5"/>
  <c r="G37" i="5"/>
  <c r="E37" i="5"/>
  <c r="F29" i="5"/>
  <c r="E29" i="5"/>
  <c r="F21" i="5"/>
  <c r="E21" i="5"/>
  <c r="F13" i="5"/>
  <c r="G13" i="5"/>
  <c r="E13" i="5"/>
  <c r="F5" i="5"/>
  <c r="E5" i="5"/>
  <c r="K24" i="5"/>
  <c r="L39" i="5"/>
  <c r="L15" i="5"/>
  <c r="O40" i="5"/>
  <c r="S47" i="5"/>
  <c r="G23" i="5"/>
  <c r="E23" i="5"/>
  <c r="R32" i="4"/>
  <c r="O32" i="4"/>
  <c r="T32" i="4"/>
  <c r="R8" i="4"/>
  <c r="O8" i="4"/>
  <c r="T8" i="4"/>
  <c r="Q8" i="4"/>
  <c r="M4" i="4"/>
  <c r="N24" i="4"/>
  <c r="S32" i="4"/>
  <c r="F46" i="5"/>
  <c r="E46" i="5"/>
  <c r="G14" i="5"/>
  <c r="E14" i="5"/>
  <c r="L40" i="5"/>
  <c r="T48" i="5"/>
  <c r="T46" i="4"/>
  <c r="Q46" i="4"/>
  <c r="S46" i="4"/>
  <c r="T38" i="4"/>
  <c r="Q38" i="4"/>
  <c r="S38" i="4"/>
  <c r="T30" i="4"/>
  <c r="Q30" i="4"/>
  <c r="N30" i="4"/>
  <c r="S30" i="4"/>
  <c r="T22" i="4"/>
  <c r="Q22" i="4"/>
  <c r="N22" i="4"/>
  <c r="S22" i="4"/>
  <c r="T14" i="4"/>
  <c r="Q14" i="4"/>
  <c r="N14" i="4"/>
  <c r="S14" i="4"/>
  <c r="T6" i="4"/>
  <c r="Q6" i="4"/>
  <c r="N6" i="4"/>
  <c r="S6" i="4"/>
  <c r="K4" i="4"/>
  <c r="L47" i="4"/>
  <c r="L39" i="4"/>
  <c r="L31" i="4"/>
  <c r="L23" i="4"/>
  <c r="L15" i="4"/>
  <c r="L7" i="4"/>
  <c r="N43" i="4"/>
  <c r="N19" i="4"/>
  <c r="N8" i="4"/>
  <c r="O45" i="4"/>
  <c r="O6" i="4"/>
  <c r="P46" i="4"/>
  <c r="P32" i="4"/>
  <c r="P7" i="4"/>
  <c r="Q19" i="4"/>
  <c r="Q4" i="4"/>
  <c r="R39" i="4"/>
  <c r="R23" i="4"/>
  <c r="R7" i="4"/>
  <c r="E7" i="5"/>
  <c r="F22" i="5"/>
  <c r="F6" i="5"/>
  <c r="G7" i="5"/>
  <c r="N50" i="5"/>
  <c r="S50" i="5"/>
  <c r="K50" i="5"/>
  <c r="P50" i="5"/>
  <c r="N42" i="5"/>
  <c r="S42" i="5"/>
  <c r="K42" i="5"/>
  <c r="P42" i="5"/>
  <c r="R42" i="5"/>
  <c r="O42" i="5"/>
  <c r="L42" i="5"/>
  <c r="Q42" i="5"/>
  <c r="T42" i="5"/>
  <c r="N34" i="5"/>
  <c r="S34" i="5"/>
  <c r="K34" i="5"/>
  <c r="P34" i="5"/>
  <c r="M34" i="5"/>
  <c r="J34" i="5"/>
  <c r="R34" i="5"/>
  <c r="O34" i="5"/>
  <c r="L34" i="5"/>
  <c r="N26" i="5"/>
  <c r="S26" i="5"/>
  <c r="K26" i="5"/>
  <c r="P26" i="5"/>
  <c r="T26" i="5"/>
  <c r="N18" i="5"/>
  <c r="S18" i="5"/>
  <c r="K18" i="5"/>
  <c r="P18" i="5"/>
  <c r="M18" i="5"/>
  <c r="J18" i="5"/>
  <c r="R18" i="5"/>
  <c r="O18" i="5"/>
  <c r="L18" i="5"/>
  <c r="Q18" i="5"/>
  <c r="N10" i="5"/>
  <c r="S10" i="5"/>
  <c r="K10" i="5"/>
  <c r="P10" i="5"/>
  <c r="T10" i="5"/>
  <c r="M10" i="5"/>
  <c r="J10" i="5"/>
  <c r="K40" i="5"/>
  <c r="K23" i="5"/>
  <c r="N48" i="5"/>
  <c r="N24" i="5"/>
  <c r="Q34" i="5"/>
  <c r="R26" i="5"/>
  <c r="R10" i="5"/>
  <c r="S24" i="5"/>
  <c r="S8" i="5"/>
  <c r="T16" i="5"/>
  <c r="R48" i="4"/>
  <c r="O48" i="4"/>
  <c r="T48" i="4"/>
  <c r="R24" i="4"/>
  <c r="O24" i="4"/>
  <c r="T24" i="4"/>
  <c r="S48" i="4"/>
  <c r="L16" i="5"/>
  <c r="Q2" i="4"/>
  <c r="N2" i="4"/>
  <c r="S2" i="4"/>
  <c r="Q45" i="4"/>
  <c r="N45" i="4"/>
  <c r="S45" i="4"/>
  <c r="Q37" i="4"/>
  <c r="N37" i="4"/>
  <c r="S37" i="4"/>
  <c r="Q29" i="4"/>
  <c r="N29" i="4"/>
  <c r="S29" i="4"/>
  <c r="Q21" i="4"/>
  <c r="N21" i="4"/>
  <c r="S21" i="4"/>
  <c r="Q13" i="4"/>
  <c r="N13" i="4"/>
  <c r="S13" i="4"/>
  <c r="Q5" i="4"/>
  <c r="N5" i="4"/>
  <c r="S5" i="4"/>
  <c r="J48" i="4"/>
  <c r="J40" i="4"/>
  <c r="J32" i="4"/>
  <c r="J24" i="4"/>
  <c r="J16" i="4"/>
  <c r="J8" i="4"/>
  <c r="K51" i="4"/>
  <c r="K43" i="4"/>
  <c r="K35" i="4"/>
  <c r="K27" i="4"/>
  <c r="K19" i="4"/>
  <c r="K11" i="4"/>
  <c r="K3" i="4"/>
  <c r="L46" i="4"/>
  <c r="L38" i="4"/>
  <c r="L30" i="4"/>
  <c r="L22" i="4"/>
  <c r="L14" i="4"/>
  <c r="L6" i="4"/>
  <c r="N51" i="4"/>
  <c r="N32" i="4"/>
  <c r="N7" i="4"/>
  <c r="O30" i="4"/>
  <c r="O19" i="4"/>
  <c r="O5" i="4"/>
  <c r="P45" i="4"/>
  <c r="P31" i="4"/>
  <c r="P6" i="4"/>
  <c r="Q43" i="4"/>
  <c r="Q32" i="4"/>
  <c r="Q3" i="4"/>
  <c r="R38" i="4"/>
  <c r="R22" i="4"/>
  <c r="R6" i="4"/>
  <c r="E6" i="5"/>
  <c r="G31" i="5"/>
  <c r="S49" i="5"/>
  <c r="K49" i="5"/>
  <c r="P49" i="5"/>
  <c r="M49" i="5"/>
  <c r="J49" i="5"/>
  <c r="S41" i="5"/>
  <c r="K41" i="5"/>
  <c r="P41" i="5"/>
  <c r="M41" i="5"/>
  <c r="Q41" i="5"/>
  <c r="N41" i="5"/>
  <c r="T41" i="5"/>
  <c r="S33" i="5"/>
  <c r="K33" i="5"/>
  <c r="P33" i="5"/>
  <c r="M33" i="5"/>
  <c r="J33" i="5"/>
  <c r="R33" i="5"/>
  <c r="O33" i="5"/>
  <c r="L33" i="5"/>
  <c r="Q33" i="5"/>
  <c r="N33" i="5"/>
  <c r="S25" i="5"/>
  <c r="K25" i="5"/>
  <c r="P25" i="5"/>
  <c r="M25" i="5"/>
  <c r="T25" i="5"/>
  <c r="S17" i="5"/>
  <c r="K17" i="5"/>
  <c r="P17" i="5"/>
  <c r="M17" i="5"/>
  <c r="R17" i="5"/>
  <c r="O17" i="5"/>
  <c r="L17" i="5"/>
  <c r="Q17" i="5"/>
  <c r="N17" i="5"/>
  <c r="S9" i="5"/>
  <c r="K9" i="5"/>
  <c r="P9" i="5"/>
  <c r="M9" i="5"/>
  <c r="T9" i="5"/>
  <c r="J9" i="5"/>
  <c r="R9" i="5"/>
  <c r="O9" i="5"/>
  <c r="L9" i="5"/>
  <c r="K39" i="5"/>
  <c r="L10" i="5"/>
  <c r="N23" i="5"/>
  <c r="O16" i="5"/>
  <c r="Q26" i="5"/>
  <c r="R41" i="5"/>
  <c r="R25" i="5"/>
  <c r="S23" i="5"/>
  <c r="T34" i="5"/>
  <c r="F28" i="5"/>
  <c r="G52" i="5"/>
  <c r="G28" i="5"/>
  <c r="R46" i="5"/>
  <c r="J46" i="5"/>
  <c r="O46" i="5"/>
  <c r="T46" i="5"/>
  <c r="L46" i="5"/>
  <c r="R38" i="5"/>
  <c r="J38" i="5"/>
  <c r="O38" i="5"/>
  <c r="T38" i="5"/>
  <c r="L38" i="5"/>
  <c r="R30" i="5"/>
  <c r="J30" i="5"/>
  <c r="O30" i="5"/>
  <c r="T30" i="5"/>
  <c r="L30" i="5"/>
  <c r="R22" i="5"/>
  <c r="J22" i="5"/>
  <c r="O22" i="5"/>
  <c r="T22" i="5"/>
  <c r="L22" i="5"/>
  <c r="R14" i="5"/>
  <c r="J14" i="5"/>
  <c r="O14" i="5"/>
  <c r="T14" i="5"/>
  <c r="L14" i="5"/>
  <c r="R6" i="5"/>
  <c r="J6" i="5"/>
  <c r="O6" i="5"/>
  <c r="T6" i="5"/>
  <c r="L6" i="5"/>
  <c r="K22" i="5"/>
  <c r="M46" i="5"/>
  <c r="N22" i="5"/>
  <c r="P46" i="5"/>
  <c r="Q22" i="5"/>
  <c r="S46" i="5"/>
  <c r="F36" i="5"/>
  <c r="F27" i="5"/>
  <c r="F9" i="5"/>
  <c r="K46" i="5"/>
  <c r="M6" i="5"/>
  <c r="N46" i="5"/>
  <c r="P6" i="5"/>
  <c r="Q46" i="5"/>
  <c r="S6" i="5"/>
  <c r="E18" i="5"/>
  <c r="G18" i="5"/>
  <c r="E10" i="5"/>
  <c r="G10" i="5"/>
  <c r="E12" i="5"/>
  <c r="F44" i="5"/>
  <c r="F26" i="5"/>
  <c r="F17" i="5"/>
  <c r="K6" i="5"/>
  <c r="M30" i="5"/>
  <c r="N6" i="5"/>
  <c r="P30" i="5"/>
  <c r="Q6" i="5"/>
  <c r="S30" i="5"/>
  <c r="E52" i="5"/>
  <c r="E36" i="5"/>
  <c r="E11" i="5"/>
  <c r="F34" i="5"/>
  <c r="F25" i="5"/>
  <c r="K30" i="5"/>
  <c r="N30" i="5"/>
  <c r="Q30" i="5"/>
  <c r="K51" i="5"/>
  <c r="K43" i="5"/>
  <c r="K35" i="5"/>
  <c r="K27" i="5"/>
  <c r="K19" i="5"/>
  <c r="K11" i="5"/>
  <c r="K3" i="5"/>
  <c r="N52" i="5"/>
  <c r="N44" i="5"/>
  <c r="N36" i="5"/>
  <c r="N28" i="5"/>
  <c r="N20" i="5"/>
  <c r="N12" i="5"/>
  <c r="N4" i="5"/>
  <c r="Q2" i="5"/>
  <c r="Q45" i="5"/>
  <c r="Q37" i="5"/>
  <c r="Q29" i="5"/>
  <c r="Q21" i="5"/>
  <c r="Q13" i="5"/>
  <c r="Q5" i="5"/>
  <c r="S51" i="5"/>
  <c r="S43" i="5"/>
  <c r="S35" i="5"/>
  <c r="S27" i="5"/>
  <c r="S19" i="5"/>
  <c r="S11" i="5"/>
  <c r="S3" i="5"/>
  <c r="L2" i="5"/>
  <c r="L45" i="5"/>
  <c r="L37" i="5"/>
  <c r="L29" i="5"/>
  <c r="L21" i="5"/>
  <c r="L13" i="5"/>
  <c r="L5" i="5"/>
  <c r="N51" i="5"/>
  <c r="N43" i="5"/>
  <c r="N35" i="5"/>
  <c r="N27" i="5"/>
  <c r="N19" i="5"/>
  <c r="N11" i="5"/>
  <c r="N3" i="5"/>
  <c r="Q52" i="5"/>
  <c r="Q44" i="5"/>
  <c r="Q36" i="5"/>
  <c r="Q28" i="5"/>
  <c r="Q20" i="5"/>
  <c r="Q12" i="5"/>
  <c r="Q4" i="5"/>
  <c r="T2" i="5"/>
  <c r="T45" i="5"/>
  <c r="T37" i="5"/>
  <c r="T29" i="5"/>
  <c r="T21" i="5"/>
  <c r="T13" i="5"/>
  <c r="T5" i="5"/>
  <c r="L52" i="5"/>
  <c r="L44" i="5"/>
  <c r="L36" i="5"/>
  <c r="L28" i="5"/>
  <c r="L20" i="5"/>
  <c r="L12" i="5"/>
  <c r="L4" i="5"/>
  <c r="S7" i="3"/>
  <c r="S23" i="3"/>
  <c r="P3" i="3"/>
  <c r="P31" i="3"/>
  <c r="P35" i="3"/>
  <c r="N13" i="3"/>
  <c r="N45" i="3"/>
  <c r="L21" i="3"/>
  <c r="L23" i="3"/>
  <c r="L37" i="3"/>
  <c r="L39" i="3"/>
  <c r="L2" i="3"/>
  <c r="J3" i="3"/>
  <c r="J5" i="3"/>
  <c r="J7" i="3"/>
  <c r="J19" i="3"/>
  <c r="J21" i="3"/>
  <c r="J23" i="3"/>
  <c r="J35" i="3"/>
  <c r="J37" i="3"/>
  <c r="J39" i="3"/>
  <c r="J51" i="3"/>
  <c r="J2" i="3"/>
  <c r="H3" i="3"/>
  <c r="L3" i="3" s="1"/>
  <c r="H4" i="3"/>
  <c r="H5" i="3"/>
  <c r="N5" i="3" s="1"/>
  <c r="H6" i="3"/>
  <c r="H7" i="3"/>
  <c r="L7" i="3" s="1"/>
  <c r="H8" i="3"/>
  <c r="H9" i="3"/>
  <c r="J9" i="3" s="1"/>
  <c r="H10" i="3"/>
  <c r="H11" i="3"/>
  <c r="L11" i="3" s="1"/>
  <c r="H12" i="3"/>
  <c r="H13" i="3"/>
  <c r="J13" i="3" s="1"/>
  <c r="H14" i="3"/>
  <c r="H15" i="3"/>
  <c r="P15" i="3" s="1"/>
  <c r="H16" i="3"/>
  <c r="H17" i="3"/>
  <c r="Q17" i="3" s="1"/>
  <c r="H18" i="3"/>
  <c r="H19" i="3"/>
  <c r="P19" i="3" s="1"/>
  <c r="H20" i="3"/>
  <c r="H21" i="3"/>
  <c r="N21" i="3" s="1"/>
  <c r="H22" i="3"/>
  <c r="H23" i="3"/>
  <c r="P23" i="3" s="1"/>
  <c r="H24" i="3"/>
  <c r="H25" i="3"/>
  <c r="J25" i="3" s="1"/>
  <c r="H26" i="3"/>
  <c r="H27" i="3"/>
  <c r="J27" i="3" s="1"/>
  <c r="H28" i="3"/>
  <c r="H29" i="3"/>
  <c r="N29" i="3" s="1"/>
  <c r="H30" i="3"/>
  <c r="H31" i="3"/>
  <c r="S31" i="3" s="1"/>
  <c r="H32" i="3"/>
  <c r="H33" i="3"/>
  <c r="N33" i="3" s="1"/>
  <c r="H34" i="3"/>
  <c r="H35" i="3"/>
  <c r="L35" i="3" s="1"/>
  <c r="H36" i="3"/>
  <c r="H37" i="3"/>
  <c r="N37" i="3" s="1"/>
  <c r="H38" i="3"/>
  <c r="H39" i="3"/>
  <c r="S39" i="3" s="1"/>
  <c r="H40" i="3"/>
  <c r="H41" i="3"/>
  <c r="J41" i="3" s="1"/>
  <c r="H42" i="3"/>
  <c r="H43" i="3"/>
  <c r="J43" i="3" s="1"/>
  <c r="H44" i="3"/>
  <c r="H45" i="3"/>
  <c r="L45" i="3" s="1"/>
  <c r="H46" i="3"/>
  <c r="H47" i="3"/>
  <c r="P47" i="3" s="1"/>
  <c r="H48" i="3"/>
  <c r="H49" i="3"/>
  <c r="N49" i="3" s="1"/>
  <c r="H50" i="3"/>
  <c r="H51" i="3"/>
  <c r="P51" i="3" s="1"/>
  <c r="H52" i="3"/>
  <c r="H2" i="3"/>
  <c r="N2" i="3" s="1"/>
  <c r="N17" i="3" l="1"/>
  <c r="L43" i="3"/>
  <c r="L27" i="3"/>
  <c r="N25" i="3"/>
  <c r="P43" i="3"/>
  <c r="P11" i="3"/>
  <c r="L41" i="3"/>
  <c r="L25" i="3"/>
  <c r="P39" i="3"/>
  <c r="P7" i="3"/>
  <c r="S15" i="3"/>
  <c r="J49" i="3"/>
  <c r="J17" i="3"/>
  <c r="J31" i="3"/>
  <c r="L19" i="3"/>
  <c r="Q9" i="3"/>
  <c r="J45" i="3"/>
  <c r="J29" i="3"/>
  <c r="L49" i="3"/>
  <c r="L33" i="3"/>
  <c r="L15" i="3"/>
  <c r="S47" i="3"/>
  <c r="J33" i="3"/>
  <c r="J47" i="3"/>
  <c r="L51" i="3"/>
  <c r="N41" i="3"/>
  <c r="P27" i="3"/>
  <c r="J15" i="3"/>
  <c r="N9" i="3"/>
  <c r="J11" i="3"/>
  <c r="L47" i="3"/>
  <c r="L31" i="3"/>
  <c r="L29" i="3"/>
  <c r="S52" i="3"/>
  <c r="T52" i="3"/>
  <c r="P52" i="3"/>
  <c r="N52" i="3"/>
  <c r="S50" i="3"/>
  <c r="R50" i="3"/>
  <c r="P50" i="3"/>
  <c r="N50" i="3"/>
  <c r="S48" i="3"/>
  <c r="T48" i="3"/>
  <c r="P48" i="3"/>
  <c r="N48" i="3"/>
  <c r="S46" i="3"/>
  <c r="R46" i="3"/>
  <c r="P46" i="3"/>
  <c r="N46" i="3"/>
  <c r="S44" i="3"/>
  <c r="T44" i="3"/>
  <c r="P44" i="3"/>
  <c r="N44" i="3"/>
  <c r="S42" i="3"/>
  <c r="R42" i="3"/>
  <c r="P42" i="3"/>
  <c r="N42" i="3"/>
  <c r="S40" i="3"/>
  <c r="T40" i="3"/>
  <c r="P40" i="3"/>
  <c r="N40" i="3"/>
  <c r="S38" i="3"/>
  <c r="R38" i="3"/>
  <c r="P38" i="3"/>
  <c r="N38" i="3"/>
  <c r="S36" i="3"/>
  <c r="T36" i="3"/>
  <c r="P36" i="3"/>
  <c r="N36" i="3"/>
  <c r="S34" i="3"/>
  <c r="R34" i="3"/>
  <c r="P34" i="3"/>
  <c r="N34" i="3"/>
  <c r="S32" i="3"/>
  <c r="T32" i="3"/>
  <c r="P32" i="3"/>
  <c r="N32" i="3"/>
  <c r="S30" i="3"/>
  <c r="R30" i="3"/>
  <c r="P30" i="3"/>
  <c r="N30" i="3"/>
  <c r="S28" i="3"/>
  <c r="T28" i="3"/>
  <c r="P28" i="3"/>
  <c r="N28" i="3"/>
  <c r="S26" i="3"/>
  <c r="R26" i="3"/>
  <c r="P26" i="3"/>
  <c r="N26" i="3"/>
  <c r="S24" i="3"/>
  <c r="T24" i="3"/>
  <c r="P24" i="3"/>
  <c r="N24" i="3"/>
  <c r="S22" i="3"/>
  <c r="R22" i="3"/>
  <c r="P22" i="3"/>
  <c r="N22" i="3"/>
  <c r="S20" i="3"/>
  <c r="T20" i="3"/>
  <c r="P20" i="3"/>
  <c r="N20" i="3"/>
  <c r="S18" i="3"/>
  <c r="Q18" i="3"/>
  <c r="R18" i="3"/>
  <c r="P18" i="3"/>
  <c r="N18" i="3"/>
  <c r="L18" i="3"/>
  <c r="S16" i="3"/>
  <c r="Q16" i="3"/>
  <c r="T16" i="3"/>
  <c r="P16" i="3"/>
  <c r="N16" i="3"/>
  <c r="L16" i="3"/>
  <c r="S14" i="3"/>
  <c r="Q14" i="3"/>
  <c r="R14" i="3"/>
  <c r="P14" i="3"/>
  <c r="N14" i="3"/>
  <c r="L14" i="3"/>
  <c r="S12" i="3"/>
  <c r="Q12" i="3"/>
  <c r="T12" i="3"/>
  <c r="P12" i="3"/>
  <c r="N12" i="3"/>
  <c r="L12" i="3"/>
  <c r="S10" i="3"/>
  <c r="Q10" i="3"/>
  <c r="R10" i="3"/>
  <c r="P10" i="3"/>
  <c r="N10" i="3"/>
  <c r="L10" i="3"/>
  <c r="S8" i="3"/>
  <c r="Q8" i="3"/>
  <c r="T8" i="3"/>
  <c r="P8" i="3"/>
  <c r="N8" i="3"/>
  <c r="L8" i="3"/>
  <c r="S6" i="3"/>
  <c r="Q6" i="3"/>
  <c r="R6" i="3"/>
  <c r="P6" i="3"/>
  <c r="N6" i="3"/>
  <c r="L6" i="3"/>
  <c r="S4" i="3"/>
  <c r="Q4" i="3"/>
  <c r="T4" i="3"/>
  <c r="P4" i="3"/>
  <c r="N4" i="3"/>
  <c r="L4" i="3"/>
  <c r="K52" i="3"/>
  <c r="K50" i="3"/>
  <c r="K48" i="3"/>
  <c r="K46" i="3"/>
  <c r="K44" i="3"/>
  <c r="K42" i="3"/>
  <c r="K40" i="3"/>
  <c r="K38" i="3"/>
  <c r="K36" i="3"/>
  <c r="K34" i="3"/>
  <c r="K32" i="3"/>
  <c r="K30" i="3"/>
  <c r="K28" i="3"/>
  <c r="K26" i="3"/>
  <c r="K24" i="3"/>
  <c r="K22" i="3"/>
  <c r="K20" i="3"/>
  <c r="K18" i="3"/>
  <c r="K16" i="3"/>
  <c r="K14" i="3"/>
  <c r="K12" i="3"/>
  <c r="K10" i="3"/>
  <c r="K8" i="3"/>
  <c r="K6" i="3"/>
  <c r="K4" i="3"/>
  <c r="M50" i="3"/>
  <c r="M46" i="3"/>
  <c r="M42" i="3"/>
  <c r="M38" i="3"/>
  <c r="M34" i="3"/>
  <c r="M30" i="3"/>
  <c r="M26" i="3"/>
  <c r="M22" i="3"/>
  <c r="M18" i="3"/>
  <c r="M14" i="3"/>
  <c r="M10" i="3"/>
  <c r="M6" i="3"/>
  <c r="O52" i="3"/>
  <c r="O48" i="3"/>
  <c r="O44" i="3"/>
  <c r="O40" i="3"/>
  <c r="O36" i="3"/>
  <c r="O32" i="3"/>
  <c r="O28" i="3"/>
  <c r="O24" i="3"/>
  <c r="O20" i="3"/>
  <c r="O16" i="3"/>
  <c r="O12" i="3"/>
  <c r="O8" i="3"/>
  <c r="O4" i="3"/>
  <c r="Q50" i="3"/>
  <c r="Q46" i="3"/>
  <c r="Q42" i="3"/>
  <c r="Q38" i="3"/>
  <c r="Q34" i="3"/>
  <c r="Q30" i="3"/>
  <c r="Q26" i="3"/>
  <c r="Q22" i="3"/>
  <c r="R52" i="3"/>
  <c r="R44" i="3"/>
  <c r="R36" i="3"/>
  <c r="R28" i="3"/>
  <c r="R20" i="3"/>
  <c r="R12" i="3"/>
  <c r="R4" i="3"/>
  <c r="T50" i="3"/>
  <c r="T42" i="3"/>
  <c r="T34" i="3"/>
  <c r="T26" i="3"/>
  <c r="T18" i="3"/>
  <c r="T10" i="3"/>
  <c r="T2" i="3"/>
  <c r="R2" i="3"/>
  <c r="S2" i="3"/>
  <c r="Q2" i="3"/>
  <c r="O2" i="3"/>
  <c r="M2" i="3"/>
  <c r="T51" i="3"/>
  <c r="R51" i="3"/>
  <c r="Q51" i="3"/>
  <c r="O51" i="3"/>
  <c r="M51" i="3"/>
  <c r="T49" i="3"/>
  <c r="R49" i="3"/>
  <c r="S49" i="3"/>
  <c r="Q49" i="3"/>
  <c r="O49" i="3"/>
  <c r="M49" i="3"/>
  <c r="T47" i="3"/>
  <c r="R47" i="3"/>
  <c r="Q47" i="3"/>
  <c r="O47" i="3"/>
  <c r="M47" i="3"/>
  <c r="T45" i="3"/>
  <c r="R45" i="3"/>
  <c r="S45" i="3"/>
  <c r="Q45" i="3"/>
  <c r="O45" i="3"/>
  <c r="M45" i="3"/>
  <c r="T43" i="3"/>
  <c r="R43" i="3"/>
  <c r="Q43" i="3"/>
  <c r="O43" i="3"/>
  <c r="M43" i="3"/>
  <c r="T41" i="3"/>
  <c r="R41" i="3"/>
  <c r="S41" i="3"/>
  <c r="Q41" i="3"/>
  <c r="O41" i="3"/>
  <c r="M41" i="3"/>
  <c r="T39" i="3"/>
  <c r="R39" i="3"/>
  <c r="Q39" i="3"/>
  <c r="O39" i="3"/>
  <c r="M39" i="3"/>
  <c r="T37" i="3"/>
  <c r="R37" i="3"/>
  <c r="S37" i="3"/>
  <c r="Q37" i="3"/>
  <c r="O37" i="3"/>
  <c r="M37" i="3"/>
  <c r="T35" i="3"/>
  <c r="R35" i="3"/>
  <c r="Q35" i="3"/>
  <c r="O35" i="3"/>
  <c r="M35" i="3"/>
  <c r="T33" i="3"/>
  <c r="R33" i="3"/>
  <c r="S33" i="3"/>
  <c r="Q33" i="3"/>
  <c r="O33" i="3"/>
  <c r="M33" i="3"/>
  <c r="T31" i="3"/>
  <c r="R31" i="3"/>
  <c r="Q31" i="3"/>
  <c r="O31" i="3"/>
  <c r="M31" i="3"/>
  <c r="T29" i="3"/>
  <c r="R29" i="3"/>
  <c r="S29" i="3"/>
  <c r="Q29" i="3"/>
  <c r="O29" i="3"/>
  <c r="M29" i="3"/>
  <c r="T27" i="3"/>
  <c r="R27" i="3"/>
  <c r="Q27" i="3"/>
  <c r="O27" i="3"/>
  <c r="M27" i="3"/>
  <c r="T25" i="3"/>
  <c r="R25" i="3"/>
  <c r="S25" i="3"/>
  <c r="Q25" i="3"/>
  <c r="O25" i="3"/>
  <c r="M25" i="3"/>
  <c r="T23" i="3"/>
  <c r="R23" i="3"/>
  <c r="Q23" i="3"/>
  <c r="O23" i="3"/>
  <c r="M23" i="3"/>
  <c r="T21" i="3"/>
  <c r="R21" i="3"/>
  <c r="S21" i="3"/>
  <c r="Q21" i="3"/>
  <c r="O21" i="3"/>
  <c r="M21" i="3"/>
  <c r="T19" i="3"/>
  <c r="R19" i="3"/>
  <c r="Q19" i="3"/>
  <c r="O19" i="3"/>
  <c r="M19" i="3"/>
  <c r="T17" i="3"/>
  <c r="R17" i="3"/>
  <c r="S17" i="3"/>
  <c r="O17" i="3"/>
  <c r="M17" i="3"/>
  <c r="T15" i="3"/>
  <c r="R15" i="3"/>
  <c r="Q15" i="3"/>
  <c r="O15" i="3"/>
  <c r="M15" i="3"/>
  <c r="T13" i="3"/>
  <c r="R13" i="3"/>
  <c r="S13" i="3"/>
  <c r="O13" i="3"/>
  <c r="M13" i="3"/>
  <c r="T11" i="3"/>
  <c r="R11" i="3"/>
  <c r="Q11" i="3"/>
  <c r="O11" i="3"/>
  <c r="M11" i="3"/>
  <c r="T9" i="3"/>
  <c r="R9" i="3"/>
  <c r="S9" i="3"/>
  <c r="O9" i="3"/>
  <c r="M9" i="3"/>
  <c r="T7" i="3"/>
  <c r="R7" i="3"/>
  <c r="Q7" i="3"/>
  <c r="O7" i="3"/>
  <c r="M7" i="3"/>
  <c r="T5" i="3"/>
  <c r="R5" i="3"/>
  <c r="S5" i="3"/>
  <c r="O5" i="3"/>
  <c r="M5" i="3"/>
  <c r="T3" i="3"/>
  <c r="R3" i="3"/>
  <c r="Q3" i="3"/>
  <c r="O3" i="3"/>
  <c r="M3" i="3"/>
  <c r="J52" i="3"/>
  <c r="J50" i="3"/>
  <c r="J48" i="3"/>
  <c r="J46" i="3"/>
  <c r="J44" i="3"/>
  <c r="J42" i="3"/>
  <c r="J40" i="3"/>
  <c r="J38" i="3"/>
  <c r="J36" i="3"/>
  <c r="J34" i="3"/>
  <c r="J32" i="3"/>
  <c r="J30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  <c r="K2" i="3"/>
  <c r="K51" i="3"/>
  <c r="K49" i="3"/>
  <c r="K47" i="3"/>
  <c r="K45" i="3"/>
  <c r="K43" i="3"/>
  <c r="K41" i="3"/>
  <c r="K39" i="3"/>
  <c r="K37" i="3"/>
  <c r="K35" i="3"/>
  <c r="K33" i="3"/>
  <c r="K31" i="3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L52" i="3"/>
  <c r="L50" i="3"/>
  <c r="L48" i="3"/>
  <c r="L46" i="3"/>
  <c r="L44" i="3"/>
  <c r="L42" i="3"/>
  <c r="L40" i="3"/>
  <c r="L38" i="3"/>
  <c r="L36" i="3"/>
  <c r="L34" i="3"/>
  <c r="L32" i="3"/>
  <c r="L30" i="3"/>
  <c r="L28" i="3"/>
  <c r="L26" i="3"/>
  <c r="L24" i="3"/>
  <c r="L22" i="3"/>
  <c r="L20" i="3"/>
  <c r="L17" i="3"/>
  <c r="L13" i="3"/>
  <c r="L9" i="3"/>
  <c r="L5" i="3"/>
  <c r="M52" i="3"/>
  <c r="M48" i="3"/>
  <c r="M44" i="3"/>
  <c r="M40" i="3"/>
  <c r="M36" i="3"/>
  <c r="M32" i="3"/>
  <c r="M28" i="3"/>
  <c r="M24" i="3"/>
  <c r="M20" i="3"/>
  <c r="M16" i="3"/>
  <c r="M12" i="3"/>
  <c r="M8" i="3"/>
  <c r="M4" i="3"/>
  <c r="N51" i="3"/>
  <c r="N47" i="3"/>
  <c r="N43" i="3"/>
  <c r="N39" i="3"/>
  <c r="N35" i="3"/>
  <c r="N31" i="3"/>
  <c r="N27" i="3"/>
  <c r="N23" i="3"/>
  <c r="N19" i="3"/>
  <c r="N15" i="3"/>
  <c r="N11" i="3"/>
  <c r="N7" i="3"/>
  <c r="N3" i="3"/>
  <c r="O50" i="3"/>
  <c r="O46" i="3"/>
  <c r="O42" i="3"/>
  <c r="O38" i="3"/>
  <c r="O34" i="3"/>
  <c r="O30" i="3"/>
  <c r="O26" i="3"/>
  <c r="O22" i="3"/>
  <c r="O18" i="3"/>
  <c r="O14" i="3"/>
  <c r="O10" i="3"/>
  <c r="O6" i="3"/>
  <c r="P2" i="3"/>
  <c r="P49" i="3"/>
  <c r="P45" i="3"/>
  <c r="P41" i="3"/>
  <c r="P37" i="3"/>
  <c r="P33" i="3"/>
  <c r="P29" i="3"/>
  <c r="P25" i="3"/>
  <c r="P21" i="3"/>
  <c r="P17" i="3"/>
  <c r="P13" i="3"/>
  <c r="P9" i="3"/>
  <c r="P5" i="3"/>
  <c r="Q52" i="3"/>
  <c r="Q48" i="3"/>
  <c r="Q44" i="3"/>
  <c r="Q40" i="3"/>
  <c r="Q36" i="3"/>
  <c r="Q32" i="3"/>
  <c r="Q28" i="3"/>
  <c r="Q24" i="3"/>
  <c r="Q20" i="3"/>
  <c r="Q13" i="3"/>
  <c r="Q5" i="3"/>
  <c r="R48" i="3"/>
  <c r="R40" i="3"/>
  <c r="R32" i="3"/>
  <c r="R24" i="3"/>
  <c r="R16" i="3"/>
  <c r="R8" i="3"/>
  <c r="S51" i="3"/>
  <c r="S43" i="3"/>
  <c r="S35" i="3"/>
  <c r="S27" i="3"/>
  <c r="S19" i="3"/>
  <c r="S11" i="3"/>
  <c r="S3" i="3"/>
  <c r="T46" i="3"/>
  <c r="T38" i="3"/>
  <c r="T30" i="3"/>
  <c r="T22" i="3"/>
  <c r="T14" i="3"/>
  <c r="T6" i="3"/>
</calcChain>
</file>

<file path=xl/sharedStrings.xml><?xml version="1.0" encoding="utf-8"?>
<sst xmlns="http://schemas.openxmlformats.org/spreadsheetml/2006/main" count="315" uniqueCount="57">
  <si>
    <t>date</t>
  </si>
  <si>
    <t>demand</t>
  </si>
  <si>
    <t>Quarter</t>
  </si>
  <si>
    <t>Time</t>
  </si>
  <si>
    <t>Q1</t>
  </si>
  <si>
    <t>Q2</t>
  </si>
  <si>
    <t>Q3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</si>
  <si>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</si>
  <si>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</si>
  <si>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</si>
  <si>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</si>
  <si>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</si>
  <si>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</si>
  <si>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</si>
  <si>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</si>
  <si>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</si>
  <si>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</si>
  <si>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</si>
  <si>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</si>
  <si>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</si>
  <si>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</si>
  <si>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</si>
  <si>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</si>
  <si>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</si>
  <si>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</si>
  <si>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</si>
  <si>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</si>
  <si>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</si>
  <si>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</si>
  <si>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</si>
  <si>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</si>
  <si>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</si>
  <si>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</si>
  <si>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demand</t>
  </si>
  <si>
    <t>Residuals</t>
  </si>
  <si>
    <t>Month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</si>
  <si>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</si>
  <si>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</si>
  <si>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</si>
  <si>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</si>
  <si>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</si>
  <si>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</si>
  <si>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</si>
  <si>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</si>
  <si>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</si>
  <si>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</si>
  <si>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</si>
  <si>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production cost</t>
  </si>
  <si>
    <t>holding cost</t>
  </si>
  <si>
    <t>production cap</t>
  </si>
  <si>
    <t>production units</t>
  </si>
  <si>
    <t>Predicted production cost</t>
  </si>
  <si>
    <t>Predicted holding cost</t>
  </si>
  <si>
    <t>MSFE</t>
  </si>
  <si>
    <t>Forecast</t>
  </si>
  <si>
    <t>Inventory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</si>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</sst>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8" x14ac:knownFonts="1"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0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0" borderId="1" xfId="0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Continuous"/>
    </xf>
    <xf numFmtId="0" fontId="0" fillId="2" borderId="1" xfId="0" applyFill="1" applyBorder="1"/>
    <xf numFmtId="164" fontId="0" fillId="0" borderId="0" xfId="0" applyNumberFormat="1"/>
    <xf numFmtId="164" fontId="1" fillId="0" borderId="0" xfId="0" applyNumberFormat="1" applyFont="1"/>
    <xf numFmtId="164" fontId="0" fillId="2" borderId="0" xfId="0" applyNumberFormat="1" applyFill="1"/>
    <xf numFmtId="164" fontId="4" fillId="0" borderId="0" xfId="0" applyNumberFormat="1" applyFont="1"/>
    <xf numFmtId="0" fontId="3" fillId="2" borderId="0" xfId="0" applyFont="1" applyFill="1"/>
    <xf numFmtId="0" fontId="3" fillId="0" borderId="0" xfId="0" applyFont="1"/>
    <xf numFmtId="164" fontId="3" fillId="0" borderId="0" xfId="0" applyNumberFormat="1" applyFont="1"/>
    <xf numFmtId="164" fontId="5" fillId="2" borderId="0" xfId="0" applyNumberFormat="1" applyFont="1" applyFill="1"/>
    <xf numFmtId="17" fontId="1" fillId="0" borderId="0" xfId="0" applyNumberFormat="1" applyFont="1"/>
    <xf numFmtId="0" fontId="0" fillId="0" borderId="0" xfId="0" applyFill="1"/>
    <xf numFmtId="164" fontId="0" fillId="3" borderId="0" xfId="0" applyNumberFormat="1" applyFill="1"/>
    <xf numFmtId="0" fontId="0" fillId="3" borderId="0" xfId="0" applyFill="1"/>
    <xf numFmtId="0" fontId="0" fillId="3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184150</xdr:colOff>
      <xdr:row>1</xdr:row>
      <xdr:rowOff>57150</xdr:rowOff>
    </xdr:from>
    <xdr:to>
      <xdr:col>13</xdr:col>
      <xdr:colOff>41275</xdr:colOff>
      <xdr:row>32</xdr:row>
      <xdr:rowOff>12700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882650" y="247650"/>
          <a:ext cx="7934325" cy="58610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152399</xdr:colOff>
      <xdr:row>1</xdr:row>
      <xdr:rowOff>129197</xdr:rowOff>
    </xdr:from>
    <xdr:to>
      <xdr:col>12</xdr:col>
      <xdr:colOff>27552</xdr:colOff>
      <xdr:row>13</xdr:row>
      <xdr:rowOff>98038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3999" y="319697"/>
          <a:ext cx="6606153" cy="2254841"/>
        </a:xfrm>
        <a:prstGeom prst="rect">
          <a:avLst/>
        </a:prstGeom>
      </xdr:spPr>
    </xdr:pic>
    <xdr:clientData/>
  </xdr:twoCellAnchor>
  <xdr:twoCellAnchor editAs="oneCell">
    <xdr:from>
      <xdr:col>2</xdr:col>
      <xdr:colOff>69849</xdr:colOff>
      <xdr:row>25</xdr:row>
      <xdr:rowOff>82900</xdr:rowOff>
    </xdr:from>
    <xdr:to>
      <xdr:col>11</xdr:col>
      <xdr:colOff>664088</xdr:colOff>
      <xdr:row>29</xdr:row>
      <xdr:rowOff>177800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449" y="4845400"/>
          <a:ext cx="6652139" cy="8569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101600</xdr:colOff>
      <xdr:row>13</xdr:row>
      <xdr:rowOff>64736</xdr:rowOff>
    </xdr:from>
    <xdr:to>
      <xdr:col>11</xdr:col>
      <xdr:colOff>660400</xdr:colOff>
      <xdr:row>15</xdr:row>
      <xdr:rowOff>146921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" y="2541236"/>
          <a:ext cx="6616700" cy="46318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15</xdr:row>
          <xdr:rowOff>177800</xdr:rowOff>
        </xdr:from>
        <xdr:to>
          <xdr:col>8</xdr:col>
          <xdr:colOff>190500</xdr:colOff>
          <xdr:row>18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Forecast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19</xdr:row>
      <xdr:rowOff>25400</xdr:rowOff>
    </xdr:from>
    <xdr:to>
      <xdr:col>12</xdr:col>
      <xdr:colOff>127000</xdr:colOff>
      <xdr:row>24</xdr:row>
      <xdr:rowOff>88900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9D5E47E-FECE-A4A6-560B-7E910E968348}"/>
            </a:ext>
          </a:extLst>
        </xdr:cNvPr>
        <xdr:cNvSpPr txBox="1"/>
      </xdr:nvSpPr>
      <xdr:spPr>
        <a:xfrm>
          <a:off x="1447800" y="3644900"/>
          <a:ext cx="6781800" cy="1016000"/>
        </a:xfrm>
        <a:prstGeom prst="rect">
          <a:avLst/>
        </a:prstGeom>
        <a:noFill/>
        <a:ln w="9525" cmpd="sng">
          <a:noFill/>
        </a:ln>
        <a:effectLst>
          <a:outerShdw blurRad="50800" dist="50800" dir="5400000" algn="ctr" rotWithShape="0">
            <a:schemeClr val="tx1">
              <a:lumMod val="50000"/>
              <a:lumOff val="5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0">
              <a:solidFill>
                <a:schemeClr val="bg1"/>
              </a:solidFill>
            </a:rPr>
            <a:t>Click </a:t>
          </a:r>
          <a:r>
            <a:rPr lang="en-US" sz="1400" i="1">
              <a:solidFill>
                <a:schemeClr val="bg1"/>
              </a:solidFill>
            </a:rPr>
            <a:t>"Find Optimal</a:t>
          </a:r>
          <a:r>
            <a:rPr lang="en-US" sz="1400" i="1" baseline="0">
              <a:solidFill>
                <a:schemeClr val="bg1"/>
              </a:solidFill>
            </a:rPr>
            <a:t> Schedule" t</a:t>
          </a:r>
          <a:r>
            <a:rPr lang="en-US" sz="1400" baseline="0">
              <a:solidFill>
                <a:schemeClr val="bg1"/>
              </a:solidFill>
            </a:rPr>
            <a:t>o find the optimal three month production schedule</a:t>
          </a:r>
        </a:p>
        <a:p>
          <a:endParaRPr lang="en-US" sz="14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558800</xdr:colOff>
          <xdr:row>21</xdr:row>
          <xdr:rowOff>38100</xdr:rowOff>
        </xdr:from>
        <xdr:to>
          <xdr:col>7</xdr:col>
          <xdr:colOff>304800</xdr:colOff>
          <xdr:row>23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5695317-222B-EE4C-7B36-BFA088E32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Optimal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5"/>
  <sheetViews>
    <sheetView topLeftCell="A10" zoomScale="80" zoomScaleNormal="80" workbookViewId="0">
      <selection activeCell="E61" sqref="E61"/>
    </sheetView>
  </sheetViews>
  <sheetFormatPr baseColWidth="10" defaultColWidth="11.5" defaultRowHeight="15" x14ac:dyDescent="0.2"/>
  <cols>
    <col min="1" max="1" width="11.5" style="6"/>
    <col min="3" max="3" width="16.5" customWidth="1"/>
    <col min="4" max="4" width="13.5" customWidth="1"/>
    <col min="5" max="5" width="16.6640625" customWidth="1"/>
    <col min="6" max="6" width="18.6640625" customWidth="1"/>
  </cols>
  <sheetData>
    <row r="1" spans="1:7" x14ac:dyDescent="0.2">
      <c r="A1" s="6" t="s">
        <v>0</v>
      </c>
      <c r="B1" t="s">
        <v>1</v>
      </c>
      <c r="C1" t="s">
        <v>47</v>
      </c>
      <c r="D1" t="s">
        <v>48</v>
      </c>
      <c r="E1" t="s">
        <v>49</v>
      </c>
      <c r="F1" t="s">
        <v>50</v>
      </c>
      <c r="G1" t="s">
        <v>55</v>
      </c>
    </row>
    <row r="2" spans="1:7" x14ac:dyDescent="0.2">
      <c r="A2" s="14">
        <v>43831</v>
      </c>
      <c r="B2">
        <v>13.04</v>
      </c>
      <c r="C2">
        <v>5.41</v>
      </c>
      <c r="D2">
        <v>4.79</v>
      </c>
      <c r="E2">
        <v>14.32</v>
      </c>
      <c r="F2">
        <v>16.11</v>
      </c>
      <c r="G2">
        <f>F2-B2</f>
        <v>3.0700000000000003</v>
      </c>
    </row>
    <row r="3" spans="1:7" x14ac:dyDescent="0.2">
      <c r="A3" s="14">
        <v>43862</v>
      </c>
      <c r="B3">
        <v>11.9</v>
      </c>
      <c r="C3">
        <v>5.68</v>
      </c>
      <c r="D3">
        <v>4.7</v>
      </c>
      <c r="E3">
        <v>12.02</v>
      </c>
      <c r="F3">
        <v>9.7200000000000006</v>
      </c>
      <c r="G3">
        <f>F3-B3+G2</f>
        <v>0.89000000000000057</v>
      </c>
    </row>
    <row r="4" spans="1:7" x14ac:dyDescent="0.2">
      <c r="A4" s="14">
        <v>43891</v>
      </c>
      <c r="B4">
        <v>9.74</v>
      </c>
      <c r="C4">
        <v>5.82</v>
      </c>
      <c r="D4">
        <v>4.09</v>
      </c>
      <c r="E4">
        <v>12.42</v>
      </c>
      <c r="F4">
        <v>9.32</v>
      </c>
      <c r="G4">
        <f t="shared" ref="G4:G55" si="0">F4-B4+G3</f>
        <v>0.47000000000000064</v>
      </c>
    </row>
    <row r="5" spans="1:7" x14ac:dyDescent="0.2">
      <c r="A5" s="14">
        <v>43922</v>
      </c>
      <c r="B5">
        <v>13.6</v>
      </c>
      <c r="C5">
        <v>5.66</v>
      </c>
      <c r="D5">
        <v>4.37</v>
      </c>
      <c r="E5">
        <v>12.39</v>
      </c>
      <c r="F5">
        <v>14.71</v>
      </c>
      <c r="G5">
        <f t="shared" si="0"/>
        <v>1.5800000000000018</v>
      </c>
    </row>
    <row r="6" spans="1:7" x14ac:dyDescent="0.2">
      <c r="A6" s="14">
        <v>43952</v>
      </c>
      <c r="B6">
        <v>16.39</v>
      </c>
      <c r="C6">
        <v>5.76</v>
      </c>
      <c r="D6">
        <v>4.41</v>
      </c>
      <c r="E6">
        <v>16.920000000000002</v>
      </c>
      <c r="F6">
        <v>14.61</v>
      </c>
      <c r="G6">
        <f t="shared" si="0"/>
        <v>-0.19999999999999929</v>
      </c>
    </row>
    <row r="7" spans="1:7" x14ac:dyDescent="0.2">
      <c r="A7" s="14">
        <v>43983</v>
      </c>
      <c r="B7">
        <v>10.78</v>
      </c>
      <c r="C7">
        <v>5.41</v>
      </c>
      <c r="D7">
        <v>4.34</v>
      </c>
      <c r="E7">
        <v>15.62</v>
      </c>
      <c r="F7">
        <v>16.89</v>
      </c>
      <c r="G7">
        <f t="shared" si="0"/>
        <v>5.9100000000000019</v>
      </c>
    </row>
    <row r="8" spans="1:7" x14ac:dyDescent="0.2">
      <c r="A8" s="14">
        <v>44013</v>
      </c>
      <c r="B8">
        <v>13.64</v>
      </c>
      <c r="C8">
        <v>5.93</v>
      </c>
      <c r="D8">
        <v>4.16</v>
      </c>
      <c r="E8">
        <v>15.59</v>
      </c>
      <c r="F8">
        <v>8.8000000000000007</v>
      </c>
      <c r="G8">
        <f t="shared" si="0"/>
        <v>1.0700000000000021</v>
      </c>
    </row>
    <row r="9" spans="1:7" x14ac:dyDescent="0.2">
      <c r="A9" s="14">
        <v>44044</v>
      </c>
      <c r="B9">
        <v>12.49</v>
      </c>
      <c r="C9">
        <v>5.8</v>
      </c>
      <c r="D9">
        <v>4</v>
      </c>
      <c r="E9">
        <v>14.14</v>
      </c>
      <c r="F9">
        <v>15.36</v>
      </c>
      <c r="G9">
        <f t="shared" si="0"/>
        <v>3.9400000000000013</v>
      </c>
    </row>
    <row r="10" spans="1:7" x14ac:dyDescent="0.2">
      <c r="A10" s="14">
        <v>44075</v>
      </c>
      <c r="B10">
        <v>16.8</v>
      </c>
      <c r="C10">
        <v>5.18</v>
      </c>
      <c r="D10">
        <v>4.4800000000000004</v>
      </c>
      <c r="E10">
        <v>17.91</v>
      </c>
      <c r="F10">
        <v>18.059999999999999</v>
      </c>
      <c r="G10">
        <f t="shared" si="0"/>
        <v>5.1999999999999993</v>
      </c>
    </row>
    <row r="11" spans="1:7" x14ac:dyDescent="0.2">
      <c r="A11" s="14">
        <v>44105</v>
      </c>
      <c r="B11">
        <v>15.42</v>
      </c>
      <c r="C11">
        <v>5.61</v>
      </c>
      <c r="D11">
        <v>4.68</v>
      </c>
      <c r="E11">
        <v>19.28</v>
      </c>
      <c r="F11">
        <v>19.100000000000001</v>
      </c>
      <c r="G11">
        <f t="shared" si="0"/>
        <v>8.8800000000000008</v>
      </c>
    </row>
    <row r="12" spans="1:7" x14ac:dyDescent="0.2">
      <c r="A12" s="14">
        <v>44136</v>
      </c>
      <c r="B12">
        <v>17.579999999999998</v>
      </c>
      <c r="C12">
        <v>5.57</v>
      </c>
      <c r="D12">
        <v>4.75</v>
      </c>
      <c r="E12">
        <v>16.59</v>
      </c>
      <c r="F12">
        <v>16.190000000000001</v>
      </c>
      <c r="G12">
        <f t="shared" si="0"/>
        <v>7.4900000000000038</v>
      </c>
    </row>
    <row r="13" spans="1:7" x14ac:dyDescent="0.2">
      <c r="A13" s="14">
        <v>44166</v>
      </c>
      <c r="B13">
        <v>13.22</v>
      </c>
      <c r="C13">
        <v>5.67</v>
      </c>
      <c r="D13">
        <v>4.4800000000000004</v>
      </c>
      <c r="E13">
        <v>16.5</v>
      </c>
      <c r="F13">
        <v>13.75</v>
      </c>
      <c r="G13">
        <f t="shared" si="0"/>
        <v>8.0200000000000031</v>
      </c>
    </row>
    <row r="14" spans="1:7" x14ac:dyDescent="0.2">
      <c r="A14" s="14">
        <v>44197</v>
      </c>
      <c r="B14">
        <v>13.96</v>
      </c>
      <c r="C14">
        <v>5.33</v>
      </c>
      <c r="D14">
        <v>4.53</v>
      </c>
      <c r="E14">
        <v>17.45</v>
      </c>
      <c r="F14">
        <v>11.5</v>
      </c>
      <c r="G14">
        <f t="shared" si="0"/>
        <v>5.5600000000000023</v>
      </c>
    </row>
    <row r="15" spans="1:7" x14ac:dyDescent="0.2">
      <c r="A15" s="14">
        <v>44228</v>
      </c>
      <c r="B15">
        <v>15.98</v>
      </c>
      <c r="C15">
        <v>5.49</v>
      </c>
      <c r="D15">
        <v>4.59</v>
      </c>
      <c r="E15">
        <v>19.63</v>
      </c>
      <c r="F15">
        <v>22.87</v>
      </c>
      <c r="G15">
        <f t="shared" si="0"/>
        <v>12.450000000000003</v>
      </c>
    </row>
    <row r="16" spans="1:7" x14ac:dyDescent="0.2">
      <c r="A16" s="14">
        <v>44256</v>
      </c>
      <c r="B16">
        <v>18.3</v>
      </c>
      <c r="C16">
        <v>5.39</v>
      </c>
      <c r="D16">
        <v>4.82</v>
      </c>
      <c r="E16">
        <v>21.47</v>
      </c>
      <c r="F16">
        <v>15.27</v>
      </c>
      <c r="G16">
        <f t="shared" si="0"/>
        <v>9.4200000000000017</v>
      </c>
    </row>
    <row r="17" spans="1:7" x14ac:dyDescent="0.2">
      <c r="A17" s="14">
        <v>44287</v>
      </c>
      <c r="B17">
        <v>15.12</v>
      </c>
      <c r="C17">
        <v>5.46</v>
      </c>
      <c r="D17">
        <v>4.17</v>
      </c>
      <c r="E17">
        <v>18.47</v>
      </c>
      <c r="F17">
        <v>21.57</v>
      </c>
      <c r="G17">
        <f t="shared" si="0"/>
        <v>15.870000000000003</v>
      </c>
    </row>
    <row r="18" spans="1:7" x14ac:dyDescent="0.2">
      <c r="A18" s="14">
        <v>44317</v>
      </c>
      <c r="B18">
        <v>19.47</v>
      </c>
      <c r="C18">
        <v>5.12</v>
      </c>
      <c r="D18">
        <v>4.49</v>
      </c>
      <c r="E18">
        <v>20.059999999999999</v>
      </c>
      <c r="F18">
        <v>12.82</v>
      </c>
      <c r="G18">
        <f t="shared" si="0"/>
        <v>9.2200000000000042</v>
      </c>
    </row>
    <row r="19" spans="1:7" x14ac:dyDescent="0.2">
      <c r="A19" s="14">
        <v>44348</v>
      </c>
      <c r="B19">
        <v>17.66</v>
      </c>
      <c r="C19">
        <v>5.58</v>
      </c>
      <c r="D19">
        <v>4.59</v>
      </c>
      <c r="E19">
        <v>21.96</v>
      </c>
      <c r="F19">
        <v>15.09</v>
      </c>
      <c r="G19">
        <f t="shared" si="0"/>
        <v>6.6500000000000039</v>
      </c>
    </row>
    <row r="20" spans="1:7" x14ac:dyDescent="0.2">
      <c r="A20" s="14">
        <v>44378</v>
      </c>
      <c r="B20">
        <v>23.1</v>
      </c>
      <c r="C20">
        <v>5.84</v>
      </c>
      <c r="D20">
        <v>4.5999999999999996</v>
      </c>
      <c r="E20">
        <v>25.2</v>
      </c>
      <c r="F20">
        <v>17.79</v>
      </c>
      <c r="G20">
        <f t="shared" si="0"/>
        <v>1.3400000000000016</v>
      </c>
    </row>
    <row r="21" spans="1:7" x14ac:dyDescent="0.2">
      <c r="A21" s="14">
        <v>44409</v>
      </c>
      <c r="B21">
        <v>22.99</v>
      </c>
      <c r="C21">
        <v>5.55</v>
      </c>
      <c r="D21">
        <v>4.66</v>
      </c>
      <c r="E21">
        <v>25.88</v>
      </c>
      <c r="F21">
        <v>23.44</v>
      </c>
      <c r="G21">
        <f t="shared" si="0"/>
        <v>1.7900000000000045</v>
      </c>
    </row>
    <row r="22" spans="1:7" x14ac:dyDescent="0.2">
      <c r="A22" s="14">
        <v>44440</v>
      </c>
      <c r="B22">
        <v>20.72</v>
      </c>
      <c r="C22">
        <v>5.09</v>
      </c>
      <c r="D22">
        <v>4.68</v>
      </c>
      <c r="E22">
        <v>24.6</v>
      </c>
      <c r="F22">
        <v>16.690000000000001</v>
      </c>
      <c r="G22">
        <f t="shared" si="0"/>
        <v>-2.2399999999999931</v>
      </c>
    </row>
    <row r="23" spans="1:7" x14ac:dyDescent="0.2">
      <c r="A23" s="14">
        <v>44470</v>
      </c>
      <c r="B23">
        <v>20.57</v>
      </c>
      <c r="C23">
        <v>5.35</v>
      </c>
      <c r="D23">
        <v>4.1900000000000004</v>
      </c>
      <c r="E23">
        <v>20.51</v>
      </c>
      <c r="F23">
        <v>20.28</v>
      </c>
      <c r="G23">
        <f t="shared" si="0"/>
        <v>-2.5299999999999923</v>
      </c>
    </row>
    <row r="24" spans="1:7" x14ac:dyDescent="0.2">
      <c r="A24" s="14">
        <v>44501</v>
      </c>
      <c r="B24">
        <v>18.899999999999999</v>
      </c>
      <c r="C24">
        <v>5.43</v>
      </c>
      <c r="D24">
        <v>4.3099999999999996</v>
      </c>
      <c r="E24">
        <v>22.76</v>
      </c>
      <c r="F24">
        <v>23.53</v>
      </c>
      <c r="G24">
        <f t="shared" si="0"/>
        <v>2.1000000000000103</v>
      </c>
    </row>
    <row r="25" spans="1:7" x14ac:dyDescent="0.2">
      <c r="A25" s="14">
        <v>44531</v>
      </c>
      <c r="B25">
        <v>23.86</v>
      </c>
      <c r="C25">
        <v>5.82</v>
      </c>
      <c r="D25">
        <v>4.46</v>
      </c>
      <c r="E25">
        <v>28.63</v>
      </c>
      <c r="F25">
        <v>26.21</v>
      </c>
      <c r="G25">
        <f t="shared" si="0"/>
        <v>4.4500000000000117</v>
      </c>
    </row>
    <row r="26" spans="1:7" x14ac:dyDescent="0.2">
      <c r="A26" s="14">
        <v>44562</v>
      </c>
      <c r="B26">
        <v>25.61</v>
      </c>
      <c r="C26">
        <v>5.26</v>
      </c>
      <c r="D26">
        <v>4.76</v>
      </c>
      <c r="E26">
        <v>28.27</v>
      </c>
      <c r="F26">
        <v>28.56</v>
      </c>
      <c r="G26">
        <f t="shared" si="0"/>
        <v>7.400000000000011</v>
      </c>
    </row>
    <row r="27" spans="1:7" x14ac:dyDescent="0.2">
      <c r="A27" s="14">
        <v>44593</v>
      </c>
      <c r="B27">
        <v>22.84</v>
      </c>
      <c r="C27">
        <v>5.42</v>
      </c>
      <c r="D27">
        <v>4.46</v>
      </c>
      <c r="E27">
        <v>25.03</v>
      </c>
      <c r="F27">
        <v>21.48</v>
      </c>
      <c r="G27">
        <f t="shared" si="0"/>
        <v>6.0400000000000116</v>
      </c>
    </row>
    <row r="28" spans="1:7" x14ac:dyDescent="0.2">
      <c r="A28" s="14">
        <v>44621</v>
      </c>
      <c r="B28">
        <v>18.190000000000001</v>
      </c>
      <c r="C28">
        <v>5.13</v>
      </c>
      <c r="D28">
        <v>4.7300000000000004</v>
      </c>
      <c r="E28">
        <v>20.87</v>
      </c>
      <c r="F28">
        <v>18.12</v>
      </c>
      <c r="G28">
        <f t="shared" si="0"/>
        <v>5.9700000000000113</v>
      </c>
    </row>
    <row r="29" spans="1:7" x14ac:dyDescent="0.2">
      <c r="A29" s="14">
        <v>44652</v>
      </c>
      <c r="B29">
        <v>23.18</v>
      </c>
      <c r="C29">
        <v>5.54</v>
      </c>
      <c r="D29">
        <v>4.32</v>
      </c>
      <c r="E29">
        <v>25.16</v>
      </c>
      <c r="F29">
        <v>23.04</v>
      </c>
      <c r="G29">
        <f t="shared" si="0"/>
        <v>5.8300000000000107</v>
      </c>
    </row>
    <row r="30" spans="1:7" x14ac:dyDescent="0.2">
      <c r="A30" s="14">
        <v>44682</v>
      </c>
      <c r="B30">
        <v>26.39</v>
      </c>
      <c r="C30">
        <v>5.66</v>
      </c>
      <c r="D30">
        <v>4.6500000000000004</v>
      </c>
      <c r="E30">
        <v>27.09</v>
      </c>
      <c r="F30">
        <v>32.04</v>
      </c>
      <c r="G30">
        <f t="shared" si="0"/>
        <v>11.480000000000009</v>
      </c>
    </row>
    <row r="31" spans="1:7" x14ac:dyDescent="0.2">
      <c r="A31" s="14">
        <v>44713</v>
      </c>
      <c r="B31">
        <v>29.54</v>
      </c>
      <c r="C31">
        <v>5.44</v>
      </c>
      <c r="D31">
        <v>4.41</v>
      </c>
      <c r="E31">
        <v>31.01</v>
      </c>
      <c r="F31">
        <v>27.05</v>
      </c>
      <c r="G31">
        <f t="shared" si="0"/>
        <v>8.9900000000000109</v>
      </c>
    </row>
    <row r="32" spans="1:7" x14ac:dyDescent="0.2">
      <c r="A32" s="14">
        <v>44743</v>
      </c>
      <c r="B32">
        <v>26.59</v>
      </c>
      <c r="C32">
        <v>5.81</v>
      </c>
      <c r="D32">
        <v>4.8099999999999996</v>
      </c>
      <c r="E32">
        <v>27.29</v>
      </c>
      <c r="F32">
        <v>21.68</v>
      </c>
      <c r="G32">
        <f t="shared" si="0"/>
        <v>4.0800000000000107</v>
      </c>
    </row>
    <row r="33" spans="1:7" x14ac:dyDescent="0.2">
      <c r="A33" s="14">
        <v>44774</v>
      </c>
      <c r="B33">
        <v>21.05</v>
      </c>
      <c r="C33">
        <v>5.36</v>
      </c>
      <c r="D33">
        <v>4.08</v>
      </c>
      <c r="E33">
        <v>23.41</v>
      </c>
      <c r="F33">
        <v>23.16</v>
      </c>
      <c r="G33">
        <f t="shared" si="0"/>
        <v>6.1900000000000102</v>
      </c>
    </row>
    <row r="34" spans="1:7" x14ac:dyDescent="0.2">
      <c r="A34" s="14">
        <v>44805</v>
      </c>
      <c r="B34">
        <v>26.66</v>
      </c>
      <c r="C34">
        <v>5.76</v>
      </c>
      <c r="D34">
        <v>4.68</v>
      </c>
      <c r="E34">
        <v>27.4</v>
      </c>
      <c r="F34">
        <v>30.33</v>
      </c>
      <c r="G34">
        <f t="shared" si="0"/>
        <v>9.8600000000000083</v>
      </c>
    </row>
    <row r="35" spans="1:7" x14ac:dyDescent="0.2">
      <c r="A35" s="14">
        <v>44835</v>
      </c>
      <c r="B35">
        <v>29.28</v>
      </c>
      <c r="C35">
        <v>5.42</v>
      </c>
      <c r="D35">
        <v>4.6900000000000004</v>
      </c>
      <c r="E35">
        <v>29.62</v>
      </c>
      <c r="F35">
        <v>25.99</v>
      </c>
      <c r="G35">
        <f t="shared" si="0"/>
        <v>6.5700000000000056</v>
      </c>
    </row>
    <row r="36" spans="1:7" x14ac:dyDescent="0.2">
      <c r="A36" s="14">
        <v>44866</v>
      </c>
      <c r="B36">
        <v>27.41</v>
      </c>
      <c r="C36">
        <v>5.35</v>
      </c>
      <c r="D36">
        <v>4.93</v>
      </c>
      <c r="E36">
        <v>32.47</v>
      </c>
      <c r="F36">
        <v>32.619999999999997</v>
      </c>
      <c r="G36">
        <f t="shared" si="0"/>
        <v>11.780000000000003</v>
      </c>
    </row>
    <row r="37" spans="1:7" x14ac:dyDescent="0.2">
      <c r="A37" s="14">
        <v>44896</v>
      </c>
      <c r="B37">
        <v>27.43</v>
      </c>
      <c r="C37">
        <v>5.93</v>
      </c>
      <c r="D37">
        <v>4.83</v>
      </c>
      <c r="E37">
        <v>27.76</v>
      </c>
      <c r="F37">
        <v>28.22</v>
      </c>
      <c r="G37">
        <f t="shared" si="0"/>
        <v>12.570000000000002</v>
      </c>
    </row>
    <row r="38" spans="1:7" x14ac:dyDescent="0.2">
      <c r="A38" s="14">
        <v>44927</v>
      </c>
      <c r="B38">
        <v>26.77</v>
      </c>
      <c r="C38">
        <v>5.68</v>
      </c>
      <c r="D38">
        <v>4.6399999999999997</v>
      </c>
      <c r="E38">
        <v>25.26</v>
      </c>
      <c r="F38">
        <v>29.94</v>
      </c>
      <c r="G38">
        <f t="shared" si="0"/>
        <v>15.740000000000004</v>
      </c>
    </row>
    <row r="39" spans="1:7" x14ac:dyDescent="0.2">
      <c r="A39" s="14">
        <v>44958</v>
      </c>
      <c r="B39">
        <v>28.34</v>
      </c>
      <c r="C39">
        <v>5.42</v>
      </c>
      <c r="D39">
        <v>4.9000000000000004</v>
      </c>
      <c r="E39">
        <v>31.03</v>
      </c>
      <c r="F39">
        <v>31.67</v>
      </c>
      <c r="G39">
        <f t="shared" si="0"/>
        <v>19.070000000000007</v>
      </c>
    </row>
    <row r="40" spans="1:7" x14ac:dyDescent="0.2">
      <c r="A40" s="14">
        <v>44986</v>
      </c>
      <c r="B40">
        <v>34.33</v>
      </c>
      <c r="C40">
        <v>5.43</v>
      </c>
      <c r="D40">
        <v>4.7300000000000004</v>
      </c>
      <c r="E40">
        <v>33.18</v>
      </c>
      <c r="F40">
        <v>31.94</v>
      </c>
      <c r="G40">
        <f t="shared" si="0"/>
        <v>16.68000000000001</v>
      </c>
    </row>
    <row r="41" spans="1:7" x14ac:dyDescent="0.2">
      <c r="A41" s="14">
        <v>45017</v>
      </c>
      <c r="B41">
        <v>34.1</v>
      </c>
      <c r="C41">
        <v>5.56</v>
      </c>
      <c r="D41">
        <v>4.8</v>
      </c>
      <c r="E41">
        <v>35.47</v>
      </c>
      <c r="F41">
        <v>34.200000000000003</v>
      </c>
      <c r="G41">
        <f t="shared" si="0"/>
        <v>16.780000000000012</v>
      </c>
    </row>
    <row r="42" spans="1:7" x14ac:dyDescent="0.2">
      <c r="A42" s="14">
        <v>45047</v>
      </c>
      <c r="B42">
        <v>31.75</v>
      </c>
      <c r="C42">
        <v>5.09</v>
      </c>
      <c r="D42">
        <v>4.2699999999999996</v>
      </c>
      <c r="E42">
        <v>31.86</v>
      </c>
      <c r="F42">
        <v>30.43</v>
      </c>
      <c r="G42">
        <f t="shared" si="0"/>
        <v>15.460000000000012</v>
      </c>
    </row>
    <row r="43" spans="1:7" x14ac:dyDescent="0.2">
      <c r="A43" s="14">
        <v>45078</v>
      </c>
      <c r="B43">
        <v>28.08</v>
      </c>
      <c r="C43">
        <v>5.22</v>
      </c>
      <c r="D43">
        <v>4.83</v>
      </c>
      <c r="E43">
        <v>28.63</v>
      </c>
      <c r="F43">
        <v>23.4</v>
      </c>
      <c r="G43">
        <f t="shared" si="0"/>
        <v>10.780000000000012</v>
      </c>
    </row>
    <row r="44" spans="1:7" x14ac:dyDescent="0.2">
      <c r="A44" s="14">
        <v>45108</v>
      </c>
      <c r="B44">
        <v>27.98</v>
      </c>
      <c r="C44">
        <v>5.33</v>
      </c>
      <c r="D44">
        <v>4.0999999999999996</v>
      </c>
      <c r="E44">
        <v>33.35</v>
      </c>
      <c r="F44">
        <v>31.51</v>
      </c>
      <c r="G44">
        <f t="shared" si="0"/>
        <v>14.310000000000013</v>
      </c>
    </row>
    <row r="45" spans="1:7" x14ac:dyDescent="0.2">
      <c r="A45" s="14">
        <v>45139</v>
      </c>
      <c r="B45">
        <v>33.61</v>
      </c>
      <c r="C45">
        <v>5.12</v>
      </c>
      <c r="D45">
        <v>4.29</v>
      </c>
      <c r="E45">
        <v>37.17</v>
      </c>
      <c r="F45">
        <v>34.479999999999997</v>
      </c>
      <c r="G45">
        <f t="shared" si="0"/>
        <v>15.18000000000001</v>
      </c>
    </row>
    <row r="46" spans="1:7" x14ac:dyDescent="0.2">
      <c r="A46" s="14">
        <v>45170</v>
      </c>
      <c r="B46">
        <v>37</v>
      </c>
      <c r="C46">
        <v>5.26</v>
      </c>
      <c r="D46">
        <v>4.18</v>
      </c>
      <c r="E46">
        <v>38.36</v>
      </c>
      <c r="F46">
        <v>39.86</v>
      </c>
      <c r="G46">
        <f t="shared" si="0"/>
        <v>18.04000000000001</v>
      </c>
    </row>
    <row r="47" spans="1:7" x14ac:dyDescent="0.2">
      <c r="A47" s="14">
        <v>45200</v>
      </c>
      <c r="B47">
        <v>30.13</v>
      </c>
      <c r="C47">
        <v>5.07</v>
      </c>
      <c r="D47">
        <v>4.47</v>
      </c>
      <c r="E47">
        <v>33.11</v>
      </c>
      <c r="F47">
        <v>31.1</v>
      </c>
      <c r="G47">
        <f t="shared" si="0"/>
        <v>19.010000000000012</v>
      </c>
    </row>
    <row r="48" spans="1:7" x14ac:dyDescent="0.2">
      <c r="A48" s="14">
        <v>45231</v>
      </c>
      <c r="B48">
        <v>30.01</v>
      </c>
      <c r="C48">
        <v>5.75</v>
      </c>
      <c r="D48">
        <v>4.79</v>
      </c>
      <c r="E48">
        <v>32.64</v>
      </c>
      <c r="F48">
        <v>34.590000000000003</v>
      </c>
      <c r="G48">
        <f t="shared" si="0"/>
        <v>23.590000000000014</v>
      </c>
    </row>
    <row r="49" spans="1:7" x14ac:dyDescent="0.2">
      <c r="A49" s="14">
        <v>45261</v>
      </c>
      <c r="B49">
        <v>33.06</v>
      </c>
      <c r="C49">
        <v>5.47</v>
      </c>
      <c r="D49">
        <v>4.93</v>
      </c>
      <c r="E49">
        <v>35.17</v>
      </c>
      <c r="F49">
        <v>36.99</v>
      </c>
      <c r="G49">
        <f t="shared" si="0"/>
        <v>27.520000000000014</v>
      </c>
    </row>
    <row r="50" spans="1:7" x14ac:dyDescent="0.2">
      <c r="A50" s="14">
        <v>45292</v>
      </c>
      <c r="B50">
        <v>38.96</v>
      </c>
      <c r="C50">
        <v>5.46</v>
      </c>
      <c r="D50">
        <v>4.79</v>
      </c>
      <c r="E50">
        <v>39.19</v>
      </c>
      <c r="F50">
        <v>40.65</v>
      </c>
      <c r="G50">
        <f t="shared" si="0"/>
        <v>29.210000000000012</v>
      </c>
    </row>
    <row r="51" spans="1:7" x14ac:dyDescent="0.2">
      <c r="A51" s="14">
        <v>45323</v>
      </c>
      <c r="B51">
        <v>39.94</v>
      </c>
      <c r="C51">
        <v>5.62</v>
      </c>
      <c r="D51">
        <v>4.6100000000000003</v>
      </c>
      <c r="E51">
        <v>41.15</v>
      </c>
      <c r="F51">
        <v>36.42</v>
      </c>
      <c r="G51">
        <f t="shared" si="0"/>
        <v>25.690000000000015</v>
      </c>
    </row>
    <row r="52" spans="1:7" x14ac:dyDescent="0.2">
      <c r="A52" s="14">
        <v>45352</v>
      </c>
      <c r="B52">
        <v>31.03</v>
      </c>
      <c r="C52">
        <v>5.05</v>
      </c>
      <c r="D52">
        <v>4.41</v>
      </c>
      <c r="E52">
        <v>35.270000000000003</v>
      </c>
      <c r="F52">
        <v>30.6</v>
      </c>
      <c r="G52">
        <f t="shared" si="0"/>
        <v>25.260000000000016</v>
      </c>
    </row>
    <row r="53" spans="1:7" x14ac:dyDescent="0.2">
      <c r="A53" s="14">
        <v>45383</v>
      </c>
      <c r="B53" s="15">
        <f>IF(AUX_Demand!AC7&lt;AUX_Demand!AN7,AUX_Demand!AE5,AUX_Demand!AP5)</f>
        <v>35.4651</v>
      </c>
      <c r="C53" s="15">
        <f>IF(AUX_ProductionCost!AC7&lt;AUX_ProductionCost!AN7,AUX_ProductionCost!AE5,AUX_ProductionCost!AP5)</f>
        <v>5.6050444444444416</v>
      </c>
      <c r="D53" s="15">
        <f>IF(AUX_HoldingCost!AC7&lt;AUX_HoldingCost!AN7,AUX_HoldingCost!AE5,AUX_HoldingCost!AP5)</f>
        <v>4.7458888888888895</v>
      </c>
      <c r="E53">
        <v>35.270000000000003</v>
      </c>
      <c r="F53">
        <v>22.495999999999999</v>
      </c>
      <c r="G53">
        <f t="shared" si="0"/>
        <v>12.290900000000015</v>
      </c>
    </row>
    <row r="54" spans="1:7" x14ac:dyDescent="0.2">
      <c r="A54" s="14">
        <v>45413</v>
      </c>
      <c r="B54" s="15">
        <f>IF(AUX_Demand!AC8&lt;AUX_Demand!AN8,AUX_Demand!AE6,AUX_Demand!AP6)</f>
        <v>35.968399999999995</v>
      </c>
      <c r="C54" s="15">
        <f>IF(AUX_ProductionCost!AC8&lt;AUX_ProductionCost!AN8,AUX_ProductionCost!AE6,AUX_ProductionCost!AP6)</f>
        <v>5.5997055555555528</v>
      </c>
      <c r="D54" s="15">
        <f>IF(AUX_HoldingCost!AC8&lt;AUX_HoldingCost!AN8,AUX_HoldingCost!AE6,AUX_HoldingCost!AP6)</f>
        <v>4.7491111111111115</v>
      </c>
      <c r="E54">
        <v>35.270000000000003</v>
      </c>
      <c r="F54">
        <v>30.152000000000001</v>
      </c>
      <c r="G54">
        <f t="shared" si="0"/>
        <v>6.4745000000000203</v>
      </c>
    </row>
    <row r="55" spans="1:7" x14ac:dyDescent="0.2">
      <c r="A55" s="14">
        <v>45444</v>
      </c>
      <c r="B55" s="15">
        <f>IF(AUX_Demand!AC9&lt;AUX_Demand!AN9,AUX_Demand!AE7,AUX_Demand!AP7)</f>
        <v>36.471699999999998</v>
      </c>
      <c r="C55" s="15">
        <f>IF(AUX_ProductionCost!AC9&lt;AUX_ProductionCost!AN9,AUX_ProductionCost!AE7,AUX_ProductionCost!AP7)</f>
        <v>5.594366666666664</v>
      </c>
      <c r="D55" s="15">
        <f>IF(AUX_HoldingCost!AC9&lt;AUX_HoldingCost!AN9,AUX_HoldingCost!AE7,AUX_HoldingCost!AP7)</f>
        <v>4.7523333333333335</v>
      </c>
      <c r="E55">
        <v>35.270000000000003</v>
      </c>
      <c r="F55">
        <v>34.042000000000002</v>
      </c>
      <c r="G55">
        <f t="shared" si="0"/>
        <v>4.0448000000000235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523A-C63E-4BE6-8415-53D2F1ACB3BE}">
  <sheetPr codeName="Sheet6"/>
  <dimension ref="A1:J55"/>
  <sheetViews>
    <sheetView topLeftCell="A44" workbookViewId="0">
      <selection activeCell="C53" sqref="C53:G55"/>
    </sheetView>
  </sheetViews>
  <sheetFormatPr baseColWidth="10" defaultColWidth="8.83203125" defaultRowHeight="15" x14ac:dyDescent="0.2"/>
  <cols>
    <col min="3" max="3" width="14.83203125" bestFit="1" customWidth="1"/>
    <col min="4" max="4" width="12" bestFit="1" customWidth="1"/>
    <col min="5" max="5" width="14.33203125" bestFit="1" customWidth="1"/>
    <col min="6" max="6" width="15.6640625" bestFit="1" customWidth="1"/>
  </cols>
  <sheetData>
    <row r="1" spans="1:7" x14ac:dyDescent="0.2">
      <c r="A1" s="6" t="s">
        <v>0</v>
      </c>
      <c r="B1" t="s">
        <v>1</v>
      </c>
      <c r="C1" t="s">
        <v>47</v>
      </c>
      <c r="D1" t="s">
        <v>48</v>
      </c>
      <c r="E1" t="s">
        <v>49</v>
      </c>
      <c r="F1" t="s">
        <v>50</v>
      </c>
      <c r="G1" t="s">
        <v>55</v>
      </c>
    </row>
    <row r="2" spans="1:7" x14ac:dyDescent="0.2">
      <c r="A2" s="14">
        <v>43831</v>
      </c>
      <c r="B2">
        <v>13.04</v>
      </c>
      <c r="C2">
        <v>5.41</v>
      </c>
      <c r="D2">
        <v>4.79</v>
      </c>
      <c r="E2">
        <v>14.32</v>
      </c>
      <c r="F2">
        <v>16.11</v>
      </c>
      <c r="G2">
        <f>F2-B2</f>
        <v>3.0700000000000003</v>
      </c>
    </row>
    <row r="3" spans="1:7" x14ac:dyDescent="0.2">
      <c r="A3" s="14">
        <v>43862</v>
      </c>
      <c r="B3">
        <v>11.9</v>
      </c>
      <c r="C3">
        <v>5.68</v>
      </c>
      <c r="D3">
        <v>4.7</v>
      </c>
      <c r="E3">
        <v>12.02</v>
      </c>
      <c r="F3">
        <v>9.7200000000000006</v>
      </c>
      <c r="G3">
        <f>F3-B3+G2</f>
        <v>0.89000000000000057</v>
      </c>
    </row>
    <row r="4" spans="1:7" x14ac:dyDescent="0.2">
      <c r="A4" s="14">
        <v>43891</v>
      </c>
      <c r="B4">
        <v>9.74</v>
      </c>
      <c r="C4">
        <v>5.82</v>
      </c>
      <c r="D4">
        <v>4.09</v>
      </c>
      <c r="E4">
        <v>12.42</v>
      </c>
      <c r="F4">
        <v>9.32</v>
      </c>
      <c r="G4">
        <f t="shared" ref="G4:G55" si="0">F4-B4+G3</f>
        <v>0.47000000000000064</v>
      </c>
    </row>
    <row r="5" spans="1:7" x14ac:dyDescent="0.2">
      <c r="A5" s="14">
        <v>43922</v>
      </c>
      <c r="B5">
        <v>13.6</v>
      </c>
      <c r="C5">
        <v>5.66</v>
      </c>
      <c r="D5">
        <v>4.37</v>
      </c>
      <c r="E5">
        <v>12.39</v>
      </c>
      <c r="F5">
        <v>14.71</v>
      </c>
      <c r="G5">
        <f t="shared" si="0"/>
        <v>1.5800000000000018</v>
      </c>
    </row>
    <row r="6" spans="1:7" x14ac:dyDescent="0.2">
      <c r="A6" s="14">
        <v>43952</v>
      </c>
      <c r="B6">
        <v>16.39</v>
      </c>
      <c r="C6">
        <v>5.76</v>
      </c>
      <c r="D6">
        <v>4.41</v>
      </c>
      <c r="E6">
        <v>16.920000000000002</v>
      </c>
      <c r="F6">
        <v>14.61</v>
      </c>
      <c r="G6">
        <f t="shared" si="0"/>
        <v>-0.19999999999999929</v>
      </c>
    </row>
    <row r="7" spans="1:7" x14ac:dyDescent="0.2">
      <c r="A7" s="14">
        <v>43983</v>
      </c>
      <c r="B7">
        <v>10.78</v>
      </c>
      <c r="C7">
        <v>5.41</v>
      </c>
      <c r="D7">
        <v>4.34</v>
      </c>
      <c r="E7">
        <v>15.62</v>
      </c>
      <c r="F7">
        <v>16.89</v>
      </c>
      <c r="G7">
        <f t="shared" si="0"/>
        <v>5.9100000000000019</v>
      </c>
    </row>
    <row r="8" spans="1:7" x14ac:dyDescent="0.2">
      <c r="A8" s="14">
        <v>44013</v>
      </c>
      <c r="B8">
        <v>13.64</v>
      </c>
      <c r="C8">
        <v>5.93</v>
      </c>
      <c r="D8">
        <v>4.16</v>
      </c>
      <c r="E8">
        <v>15.59</v>
      </c>
      <c r="F8">
        <v>8.8000000000000007</v>
      </c>
      <c r="G8">
        <f t="shared" si="0"/>
        <v>1.0700000000000021</v>
      </c>
    </row>
    <row r="9" spans="1:7" x14ac:dyDescent="0.2">
      <c r="A9" s="14">
        <v>44044</v>
      </c>
      <c r="B9">
        <v>12.49</v>
      </c>
      <c r="C9">
        <v>5.8</v>
      </c>
      <c r="D9">
        <v>4</v>
      </c>
      <c r="E9">
        <v>14.14</v>
      </c>
      <c r="F9">
        <v>15.36</v>
      </c>
      <c r="G9">
        <f t="shared" si="0"/>
        <v>3.9400000000000013</v>
      </c>
    </row>
    <row r="10" spans="1:7" x14ac:dyDescent="0.2">
      <c r="A10" s="14">
        <v>44075</v>
      </c>
      <c r="B10">
        <v>16.8</v>
      </c>
      <c r="C10">
        <v>5.18</v>
      </c>
      <c r="D10">
        <v>4.4800000000000004</v>
      </c>
      <c r="E10">
        <v>17.91</v>
      </c>
      <c r="F10">
        <v>18.059999999999999</v>
      </c>
      <c r="G10">
        <f t="shared" si="0"/>
        <v>5.1999999999999993</v>
      </c>
    </row>
    <row r="11" spans="1:7" x14ac:dyDescent="0.2">
      <c r="A11" s="14">
        <v>44105</v>
      </c>
      <c r="B11">
        <v>15.42</v>
      </c>
      <c r="C11">
        <v>5.61</v>
      </c>
      <c r="D11">
        <v>4.68</v>
      </c>
      <c r="E11">
        <v>19.28</v>
      </c>
      <c r="F11">
        <v>19.100000000000001</v>
      </c>
      <c r="G11">
        <f t="shared" si="0"/>
        <v>8.8800000000000008</v>
      </c>
    </row>
    <row r="12" spans="1:7" x14ac:dyDescent="0.2">
      <c r="A12" s="14">
        <v>44136</v>
      </c>
      <c r="B12">
        <v>17.579999999999998</v>
      </c>
      <c r="C12">
        <v>5.57</v>
      </c>
      <c r="D12">
        <v>4.75</v>
      </c>
      <c r="E12">
        <v>16.59</v>
      </c>
      <c r="F12">
        <v>16.190000000000001</v>
      </c>
      <c r="G12">
        <f t="shared" si="0"/>
        <v>7.4900000000000038</v>
      </c>
    </row>
    <row r="13" spans="1:7" x14ac:dyDescent="0.2">
      <c r="A13" s="14">
        <v>44166</v>
      </c>
      <c r="B13">
        <v>13.22</v>
      </c>
      <c r="C13">
        <v>5.67</v>
      </c>
      <c r="D13">
        <v>4.4800000000000004</v>
      </c>
      <c r="E13">
        <v>16.5</v>
      </c>
      <c r="F13">
        <v>13.75</v>
      </c>
      <c r="G13">
        <f t="shared" si="0"/>
        <v>8.0200000000000031</v>
      </c>
    </row>
    <row r="14" spans="1:7" x14ac:dyDescent="0.2">
      <c r="A14" s="14">
        <v>44197</v>
      </c>
      <c r="B14">
        <v>13.96</v>
      </c>
      <c r="C14">
        <v>5.33</v>
      </c>
      <c r="D14">
        <v>4.53</v>
      </c>
      <c r="E14">
        <v>17.45</v>
      </c>
      <c r="F14">
        <v>11.5</v>
      </c>
      <c r="G14">
        <f t="shared" si="0"/>
        <v>5.5600000000000023</v>
      </c>
    </row>
    <row r="15" spans="1:7" x14ac:dyDescent="0.2">
      <c r="A15" s="14">
        <v>44228</v>
      </c>
      <c r="B15">
        <v>15.98</v>
      </c>
      <c r="C15">
        <v>5.49</v>
      </c>
      <c r="D15">
        <v>4.59</v>
      </c>
      <c r="E15">
        <v>19.63</v>
      </c>
      <c r="F15">
        <v>22.87</v>
      </c>
      <c r="G15">
        <f t="shared" si="0"/>
        <v>12.450000000000003</v>
      </c>
    </row>
    <row r="16" spans="1:7" x14ac:dyDescent="0.2">
      <c r="A16" s="14">
        <v>44256</v>
      </c>
      <c r="B16">
        <v>18.3</v>
      </c>
      <c r="C16">
        <v>5.39</v>
      </c>
      <c r="D16">
        <v>4.82</v>
      </c>
      <c r="E16">
        <v>21.47</v>
      </c>
      <c r="F16">
        <v>15.27</v>
      </c>
      <c r="G16">
        <f t="shared" si="0"/>
        <v>9.4200000000000017</v>
      </c>
    </row>
    <row r="17" spans="1:7" x14ac:dyDescent="0.2">
      <c r="A17" s="14">
        <v>44287</v>
      </c>
      <c r="B17">
        <v>15.12</v>
      </c>
      <c r="C17">
        <v>5.46</v>
      </c>
      <c r="D17">
        <v>4.17</v>
      </c>
      <c r="E17">
        <v>18.47</v>
      </c>
      <c r="F17">
        <v>21.57</v>
      </c>
      <c r="G17">
        <f t="shared" si="0"/>
        <v>15.870000000000003</v>
      </c>
    </row>
    <row r="18" spans="1:7" x14ac:dyDescent="0.2">
      <c r="A18" s="14">
        <v>44317</v>
      </c>
      <c r="B18">
        <v>19.47</v>
      </c>
      <c r="C18">
        <v>5.12</v>
      </c>
      <c r="D18">
        <v>4.49</v>
      </c>
      <c r="E18">
        <v>20.059999999999999</v>
      </c>
      <c r="F18">
        <v>12.82</v>
      </c>
      <c r="G18">
        <f t="shared" si="0"/>
        <v>9.2200000000000042</v>
      </c>
    </row>
    <row r="19" spans="1:7" x14ac:dyDescent="0.2">
      <c r="A19" s="14">
        <v>44348</v>
      </c>
      <c r="B19">
        <v>17.66</v>
      </c>
      <c r="C19">
        <v>5.58</v>
      </c>
      <c r="D19">
        <v>4.59</v>
      </c>
      <c r="E19">
        <v>21.96</v>
      </c>
      <c r="F19">
        <v>15.09</v>
      </c>
      <c r="G19">
        <f t="shared" si="0"/>
        <v>6.6500000000000039</v>
      </c>
    </row>
    <row r="20" spans="1:7" x14ac:dyDescent="0.2">
      <c r="A20" s="14">
        <v>44378</v>
      </c>
      <c r="B20">
        <v>23.1</v>
      </c>
      <c r="C20">
        <v>5.84</v>
      </c>
      <c r="D20">
        <v>4.5999999999999996</v>
      </c>
      <c r="E20">
        <v>25.2</v>
      </c>
      <c r="F20">
        <v>17.79</v>
      </c>
      <c r="G20">
        <f t="shared" si="0"/>
        <v>1.3400000000000016</v>
      </c>
    </row>
    <row r="21" spans="1:7" x14ac:dyDescent="0.2">
      <c r="A21" s="14">
        <v>44409</v>
      </c>
      <c r="B21">
        <v>22.99</v>
      </c>
      <c r="C21">
        <v>5.55</v>
      </c>
      <c r="D21">
        <v>4.66</v>
      </c>
      <c r="E21">
        <v>25.88</v>
      </c>
      <c r="F21">
        <v>23.44</v>
      </c>
      <c r="G21">
        <f t="shared" si="0"/>
        <v>1.7900000000000045</v>
      </c>
    </row>
    <row r="22" spans="1:7" x14ac:dyDescent="0.2">
      <c r="A22" s="14">
        <v>44440</v>
      </c>
      <c r="B22">
        <v>20.72</v>
      </c>
      <c r="C22">
        <v>5.09</v>
      </c>
      <c r="D22">
        <v>4.68</v>
      </c>
      <c r="E22">
        <v>24.6</v>
      </c>
      <c r="F22">
        <v>16.690000000000001</v>
      </c>
      <c r="G22">
        <f t="shared" si="0"/>
        <v>-2.2399999999999931</v>
      </c>
    </row>
    <row r="23" spans="1:7" x14ac:dyDescent="0.2">
      <c r="A23" s="14">
        <v>44470</v>
      </c>
      <c r="B23">
        <v>20.57</v>
      </c>
      <c r="C23">
        <v>5.35</v>
      </c>
      <c r="D23">
        <v>4.1900000000000004</v>
      </c>
      <c r="E23">
        <v>20.51</v>
      </c>
      <c r="F23">
        <v>20.28</v>
      </c>
      <c r="G23">
        <f t="shared" si="0"/>
        <v>-2.5299999999999923</v>
      </c>
    </row>
    <row r="24" spans="1:7" x14ac:dyDescent="0.2">
      <c r="A24" s="14">
        <v>44501</v>
      </c>
      <c r="B24">
        <v>18.899999999999999</v>
      </c>
      <c r="C24">
        <v>5.43</v>
      </c>
      <c r="D24">
        <v>4.3099999999999996</v>
      </c>
      <c r="E24">
        <v>22.76</v>
      </c>
      <c r="F24">
        <v>23.53</v>
      </c>
      <c r="G24">
        <f t="shared" si="0"/>
        <v>2.1000000000000103</v>
      </c>
    </row>
    <row r="25" spans="1:7" x14ac:dyDescent="0.2">
      <c r="A25" s="14">
        <v>44531</v>
      </c>
      <c r="B25">
        <v>23.86</v>
      </c>
      <c r="C25">
        <v>5.82</v>
      </c>
      <c r="D25">
        <v>4.46</v>
      </c>
      <c r="E25">
        <v>28.63</v>
      </c>
      <c r="F25">
        <v>26.21</v>
      </c>
      <c r="G25">
        <f t="shared" si="0"/>
        <v>4.4500000000000117</v>
      </c>
    </row>
    <row r="26" spans="1:7" x14ac:dyDescent="0.2">
      <c r="A26" s="14">
        <v>44562</v>
      </c>
      <c r="B26">
        <v>25.61</v>
      </c>
      <c r="C26">
        <v>5.26</v>
      </c>
      <c r="D26">
        <v>4.76</v>
      </c>
      <c r="E26">
        <v>28.27</v>
      </c>
      <c r="F26">
        <v>28.56</v>
      </c>
      <c r="G26">
        <f t="shared" si="0"/>
        <v>7.400000000000011</v>
      </c>
    </row>
    <row r="27" spans="1:7" x14ac:dyDescent="0.2">
      <c r="A27" s="14">
        <v>44593</v>
      </c>
      <c r="B27">
        <v>22.84</v>
      </c>
      <c r="C27">
        <v>5.42</v>
      </c>
      <c r="D27">
        <v>4.46</v>
      </c>
      <c r="E27">
        <v>25.03</v>
      </c>
      <c r="F27">
        <v>21.48</v>
      </c>
      <c r="G27">
        <f t="shared" si="0"/>
        <v>6.0400000000000116</v>
      </c>
    </row>
    <row r="28" spans="1:7" x14ac:dyDescent="0.2">
      <c r="A28" s="14">
        <v>44621</v>
      </c>
      <c r="B28">
        <v>18.190000000000001</v>
      </c>
      <c r="C28">
        <v>5.13</v>
      </c>
      <c r="D28">
        <v>4.7300000000000004</v>
      </c>
      <c r="E28">
        <v>20.87</v>
      </c>
      <c r="F28">
        <v>18.12</v>
      </c>
      <c r="G28">
        <f t="shared" si="0"/>
        <v>5.9700000000000113</v>
      </c>
    </row>
    <row r="29" spans="1:7" x14ac:dyDescent="0.2">
      <c r="A29" s="14">
        <v>44652</v>
      </c>
      <c r="B29">
        <v>23.18</v>
      </c>
      <c r="C29">
        <v>5.54</v>
      </c>
      <c r="D29">
        <v>4.32</v>
      </c>
      <c r="E29">
        <v>25.16</v>
      </c>
      <c r="F29">
        <v>23.04</v>
      </c>
      <c r="G29">
        <f t="shared" si="0"/>
        <v>5.8300000000000107</v>
      </c>
    </row>
    <row r="30" spans="1:7" x14ac:dyDescent="0.2">
      <c r="A30" s="14">
        <v>44682</v>
      </c>
      <c r="B30">
        <v>26.39</v>
      </c>
      <c r="C30">
        <v>5.66</v>
      </c>
      <c r="D30">
        <v>4.6500000000000004</v>
      </c>
      <c r="E30">
        <v>27.09</v>
      </c>
      <c r="F30">
        <v>32.04</v>
      </c>
      <c r="G30">
        <f t="shared" si="0"/>
        <v>11.480000000000009</v>
      </c>
    </row>
    <row r="31" spans="1:7" x14ac:dyDescent="0.2">
      <c r="A31" s="14">
        <v>44713</v>
      </c>
      <c r="B31">
        <v>29.54</v>
      </c>
      <c r="C31">
        <v>5.44</v>
      </c>
      <c r="D31">
        <v>4.41</v>
      </c>
      <c r="E31">
        <v>31.01</v>
      </c>
      <c r="F31">
        <v>27.05</v>
      </c>
      <c r="G31">
        <f t="shared" si="0"/>
        <v>8.9900000000000109</v>
      </c>
    </row>
    <row r="32" spans="1:7" x14ac:dyDescent="0.2">
      <c r="A32" s="14">
        <v>44743</v>
      </c>
      <c r="B32">
        <v>26.59</v>
      </c>
      <c r="C32">
        <v>5.81</v>
      </c>
      <c r="D32">
        <v>4.8099999999999996</v>
      </c>
      <c r="E32">
        <v>27.29</v>
      </c>
      <c r="F32">
        <v>21.68</v>
      </c>
      <c r="G32">
        <f t="shared" si="0"/>
        <v>4.0800000000000107</v>
      </c>
    </row>
    <row r="33" spans="1:7" x14ac:dyDescent="0.2">
      <c r="A33" s="14">
        <v>44774</v>
      </c>
      <c r="B33">
        <v>21.05</v>
      </c>
      <c r="C33">
        <v>5.36</v>
      </c>
      <c r="D33">
        <v>4.08</v>
      </c>
      <c r="E33">
        <v>23.41</v>
      </c>
      <c r="F33">
        <v>23.16</v>
      </c>
      <c r="G33">
        <f t="shared" si="0"/>
        <v>6.1900000000000102</v>
      </c>
    </row>
    <row r="34" spans="1:7" x14ac:dyDescent="0.2">
      <c r="A34" s="14">
        <v>44805</v>
      </c>
      <c r="B34">
        <v>26.66</v>
      </c>
      <c r="C34">
        <v>5.76</v>
      </c>
      <c r="D34">
        <v>4.68</v>
      </c>
      <c r="E34">
        <v>27.4</v>
      </c>
      <c r="F34">
        <v>30.33</v>
      </c>
      <c r="G34">
        <f t="shared" si="0"/>
        <v>9.8600000000000083</v>
      </c>
    </row>
    <row r="35" spans="1:7" x14ac:dyDescent="0.2">
      <c r="A35" s="14">
        <v>44835</v>
      </c>
      <c r="B35">
        <v>29.28</v>
      </c>
      <c r="C35">
        <v>5.42</v>
      </c>
      <c r="D35">
        <v>4.6900000000000004</v>
      </c>
      <c r="E35">
        <v>29.62</v>
      </c>
      <c r="F35">
        <v>25.99</v>
      </c>
      <c r="G35">
        <f t="shared" si="0"/>
        <v>6.5700000000000056</v>
      </c>
    </row>
    <row r="36" spans="1:7" x14ac:dyDescent="0.2">
      <c r="A36" s="14">
        <v>44866</v>
      </c>
      <c r="B36">
        <v>27.41</v>
      </c>
      <c r="C36">
        <v>5.35</v>
      </c>
      <c r="D36">
        <v>4.93</v>
      </c>
      <c r="E36">
        <v>32.47</v>
      </c>
      <c r="F36">
        <v>32.619999999999997</v>
      </c>
      <c r="G36">
        <f t="shared" si="0"/>
        <v>11.780000000000003</v>
      </c>
    </row>
    <row r="37" spans="1:7" x14ac:dyDescent="0.2">
      <c r="A37" s="14">
        <v>44896</v>
      </c>
      <c r="B37">
        <v>27.43</v>
      </c>
      <c r="C37">
        <v>5.93</v>
      </c>
      <c r="D37">
        <v>4.83</v>
      </c>
      <c r="E37">
        <v>27.76</v>
      </c>
      <c r="F37">
        <v>28.22</v>
      </c>
      <c r="G37">
        <f t="shared" si="0"/>
        <v>12.570000000000002</v>
      </c>
    </row>
    <row r="38" spans="1:7" x14ac:dyDescent="0.2">
      <c r="A38" s="14">
        <v>44927</v>
      </c>
      <c r="B38">
        <v>26.77</v>
      </c>
      <c r="C38">
        <v>5.68</v>
      </c>
      <c r="D38">
        <v>4.6399999999999997</v>
      </c>
      <c r="E38">
        <v>25.26</v>
      </c>
      <c r="F38">
        <v>29.94</v>
      </c>
      <c r="G38">
        <f t="shared" si="0"/>
        <v>15.740000000000004</v>
      </c>
    </row>
    <row r="39" spans="1:7" x14ac:dyDescent="0.2">
      <c r="A39" s="14">
        <v>44958</v>
      </c>
      <c r="B39">
        <v>28.34</v>
      </c>
      <c r="C39">
        <v>5.42</v>
      </c>
      <c r="D39">
        <v>4.9000000000000004</v>
      </c>
      <c r="E39">
        <v>31.03</v>
      </c>
      <c r="F39">
        <v>31.67</v>
      </c>
      <c r="G39">
        <f t="shared" si="0"/>
        <v>19.070000000000007</v>
      </c>
    </row>
    <row r="40" spans="1:7" x14ac:dyDescent="0.2">
      <c r="A40" s="14">
        <v>44986</v>
      </c>
      <c r="B40">
        <v>34.33</v>
      </c>
      <c r="C40">
        <v>5.43</v>
      </c>
      <c r="D40">
        <v>4.7300000000000004</v>
      </c>
      <c r="E40">
        <v>33.18</v>
      </c>
      <c r="F40">
        <v>31.94</v>
      </c>
      <c r="G40">
        <f t="shared" si="0"/>
        <v>16.68000000000001</v>
      </c>
    </row>
    <row r="41" spans="1:7" x14ac:dyDescent="0.2">
      <c r="A41" s="14">
        <v>45017</v>
      </c>
      <c r="B41">
        <v>34.1</v>
      </c>
      <c r="C41">
        <v>5.56</v>
      </c>
      <c r="D41">
        <v>4.8</v>
      </c>
      <c r="E41">
        <v>35.47</v>
      </c>
      <c r="F41">
        <v>34.200000000000003</v>
      </c>
      <c r="G41">
        <f t="shared" si="0"/>
        <v>16.780000000000012</v>
      </c>
    </row>
    <row r="42" spans="1:7" x14ac:dyDescent="0.2">
      <c r="A42" s="14">
        <v>45047</v>
      </c>
      <c r="B42">
        <v>31.75</v>
      </c>
      <c r="C42">
        <v>5.09</v>
      </c>
      <c r="D42">
        <v>4.2699999999999996</v>
      </c>
      <c r="E42">
        <v>31.86</v>
      </c>
      <c r="F42">
        <v>30.43</v>
      </c>
      <c r="G42">
        <f t="shared" si="0"/>
        <v>15.460000000000012</v>
      </c>
    </row>
    <row r="43" spans="1:7" x14ac:dyDescent="0.2">
      <c r="A43" s="14">
        <v>45078</v>
      </c>
      <c r="B43">
        <v>28.08</v>
      </c>
      <c r="C43">
        <v>5.22</v>
      </c>
      <c r="D43">
        <v>4.83</v>
      </c>
      <c r="E43">
        <v>28.63</v>
      </c>
      <c r="F43">
        <v>23.4</v>
      </c>
      <c r="G43">
        <f t="shared" si="0"/>
        <v>10.780000000000012</v>
      </c>
    </row>
    <row r="44" spans="1:7" x14ac:dyDescent="0.2">
      <c r="A44" s="14">
        <v>45108</v>
      </c>
      <c r="B44">
        <v>27.98</v>
      </c>
      <c r="C44">
        <v>5.33</v>
      </c>
      <c r="D44">
        <v>4.0999999999999996</v>
      </c>
      <c r="E44">
        <v>33.35</v>
      </c>
      <c r="F44">
        <v>31.51</v>
      </c>
      <c r="G44">
        <f t="shared" si="0"/>
        <v>14.310000000000013</v>
      </c>
    </row>
    <row r="45" spans="1:7" x14ac:dyDescent="0.2">
      <c r="A45" s="14">
        <v>45139</v>
      </c>
      <c r="B45">
        <v>33.61</v>
      </c>
      <c r="C45">
        <v>5.12</v>
      </c>
      <c r="D45">
        <v>4.29</v>
      </c>
      <c r="E45">
        <v>37.17</v>
      </c>
      <c r="F45">
        <v>34.479999999999997</v>
      </c>
      <c r="G45">
        <f t="shared" si="0"/>
        <v>15.18000000000001</v>
      </c>
    </row>
    <row r="46" spans="1:7" x14ac:dyDescent="0.2">
      <c r="A46" s="14">
        <v>45170</v>
      </c>
      <c r="B46">
        <v>37</v>
      </c>
      <c r="C46">
        <v>5.26</v>
      </c>
      <c r="D46">
        <v>4.18</v>
      </c>
      <c r="E46">
        <v>38.36</v>
      </c>
      <c r="F46">
        <v>39.86</v>
      </c>
      <c r="G46">
        <f t="shared" si="0"/>
        <v>18.04000000000001</v>
      </c>
    </row>
    <row r="47" spans="1:7" x14ac:dyDescent="0.2">
      <c r="A47" s="14">
        <v>45200</v>
      </c>
      <c r="B47">
        <v>30.13</v>
      </c>
      <c r="C47">
        <v>5.07</v>
      </c>
      <c r="D47">
        <v>4.47</v>
      </c>
      <c r="E47">
        <v>33.11</v>
      </c>
      <c r="F47">
        <v>31.1</v>
      </c>
      <c r="G47">
        <f t="shared" si="0"/>
        <v>19.010000000000012</v>
      </c>
    </row>
    <row r="48" spans="1:7" x14ac:dyDescent="0.2">
      <c r="A48" s="14">
        <v>45231</v>
      </c>
      <c r="B48">
        <v>30.01</v>
      </c>
      <c r="C48">
        <v>5.75</v>
      </c>
      <c r="D48">
        <v>4.79</v>
      </c>
      <c r="E48">
        <v>32.64</v>
      </c>
      <c r="F48">
        <v>34.590000000000003</v>
      </c>
      <c r="G48">
        <f t="shared" si="0"/>
        <v>23.590000000000014</v>
      </c>
    </row>
    <row r="49" spans="1:10" x14ac:dyDescent="0.2">
      <c r="A49" s="14">
        <v>45261</v>
      </c>
      <c r="B49">
        <v>33.06</v>
      </c>
      <c r="C49">
        <v>5.47</v>
      </c>
      <c r="D49">
        <v>4.93</v>
      </c>
      <c r="E49">
        <v>35.17</v>
      </c>
      <c r="F49">
        <v>36.99</v>
      </c>
      <c r="G49">
        <f t="shared" si="0"/>
        <v>27.520000000000014</v>
      </c>
    </row>
    <row r="50" spans="1:10" x14ac:dyDescent="0.2">
      <c r="A50" s="14">
        <v>45292</v>
      </c>
      <c r="B50">
        <v>38.96</v>
      </c>
      <c r="C50">
        <v>5.46</v>
      </c>
      <c r="D50">
        <v>4.79</v>
      </c>
      <c r="E50">
        <v>39.19</v>
      </c>
      <c r="F50">
        <v>40.65</v>
      </c>
      <c r="G50">
        <f t="shared" si="0"/>
        <v>29.210000000000012</v>
      </c>
    </row>
    <row r="51" spans="1:10" x14ac:dyDescent="0.2">
      <c r="A51" s="14">
        <v>45323</v>
      </c>
      <c r="B51">
        <v>39.94</v>
      </c>
      <c r="C51">
        <v>5.62</v>
      </c>
      <c r="D51">
        <v>4.6100000000000003</v>
      </c>
      <c r="E51">
        <v>41.15</v>
      </c>
      <c r="F51">
        <v>36.42</v>
      </c>
      <c r="G51">
        <f t="shared" si="0"/>
        <v>25.690000000000015</v>
      </c>
    </row>
    <row r="52" spans="1:10" x14ac:dyDescent="0.2">
      <c r="A52" s="14">
        <v>45352</v>
      </c>
      <c r="B52">
        <v>31.03</v>
      </c>
      <c r="C52">
        <v>5.05</v>
      </c>
      <c r="D52">
        <v>4.41</v>
      </c>
      <c r="E52">
        <v>35.270000000000003</v>
      </c>
      <c r="F52">
        <v>30.6</v>
      </c>
      <c r="G52">
        <f t="shared" si="0"/>
        <v>25.260000000000016</v>
      </c>
    </row>
    <row r="53" spans="1:10" x14ac:dyDescent="0.2">
      <c r="A53" s="14">
        <v>45383</v>
      </c>
      <c r="B53" s="15">
        <f>IF(AUX_Demand!AC7&lt;AUX_Demand!AN7,AUX_Demand!AE5,AUX_Demand!AP5)</f>
        <v>35.4651</v>
      </c>
      <c r="C53" s="15">
        <f>IF(AUX_ProductionCost!AC7&lt;AUX_ProductionCost!AN7,AUX_ProductionCost!AE5,AUX_ProductionCost!AP5)</f>
        <v>5.6050444444444416</v>
      </c>
      <c r="D53" s="15">
        <f>IF(AUX_HoldingCost!AC7&lt;AUX_HoldingCost!AN7,AUX_HoldingCost!AE5,AUX_HoldingCost!AP5)</f>
        <v>4.7458888888888895</v>
      </c>
      <c r="E53">
        <v>35.270000000000003</v>
      </c>
      <c r="F53">
        <v>22.495999999999999</v>
      </c>
      <c r="G53">
        <f t="shared" si="0"/>
        <v>12.290900000000015</v>
      </c>
      <c r="J53" t="s">
        <v>56</v>
      </c>
    </row>
    <row r="54" spans="1:10" x14ac:dyDescent="0.2">
      <c r="A54" s="14">
        <v>45413</v>
      </c>
      <c r="B54" s="15">
        <f>IF(AUX_Demand!AC8&lt;AUX_Demand!AN8,AUX_Demand!AE6,AUX_Demand!AP6)</f>
        <v>35.968399999999995</v>
      </c>
      <c r="C54" s="15">
        <f>IF(AUX_ProductionCost!AC8&lt;AUX_ProductionCost!AN8,AUX_ProductionCost!AE6,AUX_ProductionCost!AP6)</f>
        <v>5.5997055555555528</v>
      </c>
      <c r="D54" s="15">
        <f>IF(AUX_HoldingCost!AC8&lt;AUX_HoldingCost!AN8,AUX_HoldingCost!AE6,AUX_HoldingCost!AP6)</f>
        <v>4.7491111111111115</v>
      </c>
      <c r="E54">
        <v>35.270000000000003</v>
      </c>
      <c r="F54">
        <v>30.152000000000001</v>
      </c>
      <c r="G54">
        <f t="shared" si="0"/>
        <v>6.4745000000000203</v>
      </c>
      <c r="J54">
        <f>SUMPRODUCT(C53:C55,F53:F55)+SUMPRODUCT(D53:D55,G53:G55)</f>
        <v>593.67843530000005</v>
      </c>
    </row>
    <row r="55" spans="1:10" x14ac:dyDescent="0.2">
      <c r="A55" s="14">
        <v>45444</v>
      </c>
      <c r="B55" s="15">
        <f>IF(AUX_Demand!AC9&lt;AUX_Demand!AN9,AUX_Demand!AE7,AUX_Demand!AP7)</f>
        <v>36.471699999999998</v>
      </c>
      <c r="C55" s="15">
        <f>IF(AUX_ProductionCost!AC9&lt;AUX_ProductionCost!AN9,AUX_ProductionCost!AE7,AUX_ProductionCost!AP7)</f>
        <v>5.594366666666664</v>
      </c>
      <c r="D55" s="15">
        <f>IF(AUX_HoldingCost!AC9&lt;AUX_HoldingCost!AN9,AUX_HoldingCost!AE7,AUX_HoldingCost!AP7)</f>
        <v>4.7523333333333335</v>
      </c>
      <c r="E55">
        <v>35.270000000000003</v>
      </c>
      <c r="F55">
        <v>34.042000000000002</v>
      </c>
      <c r="G55">
        <f t="shared" si="0"/>
        <v>4.0448000000000235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359B-5865-46CB-8899-DF2CAEB04FD8}">
  <sheetPr codeName="Sheet2"/>
  <dimension ref="A1:AS312"/>
  <sheetViews>
    <sheetView topLeftCell="T1" zoomScale="80" zoomScaleNormal="80" workbookViewId="0">
      <selection activeCell="C56" sqref="C56"/>
    </sheetView>
  </sheetViews>
  <sheetFormatPr baseColWidth="10" defaultColWidth="8.83203125" defaultRowHeight="15" x14ac:dyDescent="0.2"/>
  <cols>
    <col min="1" max="1" width="11.83203125" style="6" customWidth="1"/>
    <col min="27" max="27" width="14" customWidth="1"/>
    <col min="31" max="31" width="9.6640625" customWidth="1"/>
    <col min="38" max="38" width="10" customWidth="1"/>
  </cols>
  <sheetData>
    <row r="1" spans="1:45" x14ac:dyDescent="0.2">
      <c r="A1" s="6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35</v>
      </c>
      <c r="I1" t="s">
        <v>3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Z1" t="s">
        <v>7</v>
      </c>
      <c r="AK1" t="s">
        <v>7</v>
      </c>
    </row>
    <row r="2" spans="1:45" ht="16" thickBot="1" x14ac:dyDescent="0.25">
      <c r="A2" s="7">
        <v>43831</v>
      </c>
      <c r="B2">
        <v>13.04</v>
      </c>
      <c r="C2">
        <f>ROUNDUP(MONTH(A2)/3,0)</f>
        <v>1</v>
      </c>
      <c r="D2">
        <v>1</v>
      </c>
      <c r="E2">
        <f>IF(C2=1,1,0)</f>
        <v>1</v>
      </c>
      <c r="F2">
        <f>IF(C2=2,1,0)</f>
        <v>0</v>
      </c>
      <c r="G2">
        <f>IF(C2=3,1,0)</f>
        <v>0</v>
      </c>
      <c r="H2">
        <f>MONTH(A2)</f>
        <v>1</v>
      </c>
      <c r="I2">
        <v>1</v>
      </c>
      <c r="J2">
        <f>IF(H2=1,1,0)</f>
        <v>1</v>
      </c>
      <c r="K2">
        <f>IF(H2=2,1,0)</f>
        <v>0</v>
      </c>
      <c r="L2">
        <f>IF(H2=3,1,0)</f>
        <v>0</v>
      </c>
      <c r="M2">
        <f>IF(H2=4,1,0)</f>
        <v>0</v>
      </c>
      <c r="N2">
        <f>IF(H2=5,1,0)</f>
        <v>0</v>
      </c>
      <c r="O2">
        <f>IF(H2=6,1,0)</f>
        <v>0</v>
      </c>
      <c r="P2">
        <f>IF(H2=7,1,0)</f>
        <v>0</v>
      </c>
      <c r="Q2">
        <f>IF(H2=8,1,0)</f>
        <v>0</v>
      </c>
      <c r="R2">
        <f>IF(H2=9,1,0)</f>
        <v>0</v>
      </c>
      <c r="S2">
        <f>IF(H2=10,1,0)</f>
        <v>0</v>
      </c>
      <c r="T2">
        <f>IF(H2=11,1,0)</f>
        <v>0</v>
      </c>
    </row>
    <row r="3" spans="1:45" x14ac:dyDescent="0.2">
      <c r="A3" s="7">
        <v>43862</v>
      </c>
      <c r="B3">
        <v>11.9</v>
      </c>
      <c r="C3">
        <f t="shared" ref="C3:C52" si="0">ROUNDUP(MONTH(A3)/3,0)</f>
        <v>1</v>
      </c>
      <c r="D3">
        <v>2</v>
      </c>
      <c r="E3">
        <f t="shared" ref="E3:E52" si="1">IF(C3=1,1,0)</f>
        <v>1</v>
      </c>
      <c r="F3">
        <f t="shared" ref="F3:F52" si="2">IF(C3=2,1,0)</f>
        <v>0</v>
      </c>
      <c r="G3">
        <f t="shared" ref="G3:G52" si="3">IF(C3=3,1,0)</f>
        <v>0</v>
      </c>
      <c r="H3">
        <f t="shared" ref="H3:H52" si="4">MONTH(A3)</f>
        <v>2</v>
      </c>
      <c r="I3">
        <v>2</v>
      </c>
      <c r="J3">
        <f t="shared" ref="J3:J52" si="5">IF(H3=1,1,0)</f>
        <v>0</v>
      </c>
      <c r="K3">
        <f t="shared" ref="K3:K52" si="6">IF(H3=2,1,0)</f>
        <v>1</v>
      </c>
      <c r="L3">
        <f t="shared" ref="L3:L52" si="7">IF(H3=3,1,0)</f>
        <v>0</v>
      </c>
      <c r="M3">
        <f t="shared" ref="M3:M52" si="8">IF(H3=4,1,0)</f>
        <v>0</v>
      </c>
      <c r="N3">
        <f t="shared" ref="N3:N52" si="9">IF(H3=5,1,0)</f>
        <v>0</v>
      </c>
      <c r="O3">
        <f t="shared" ref="O3:O52" si="10">IF(H3=6,1,0)</f>
        <v>0</v>
      </c>
      <c r="P3">
        <f t="shared" ref="P3:P52" si="11">IF(H3=7,1,0)</f>
        <v>0</v>
      </c>
      <c r="Q3">
        <f t="shared" ref="Q3:Q52" si="12">IF(H3=8,1,0)</f>
        <v>0</v>
      </c>
      <c r="R3">
        <f t="shared" ref="R3:R52" si="13">IF(H3=9,1,0)</f>
        <v>0</v>
      </c>
      <c r="S3">
        <f t="shared" ref="S3:S52" si="14">IF(H3=10,1,0)</f>
        <v>0</v>
      </c>
      <c r="T3">
        <f t="shared" ref="T3:T52" si="15">IF(H3=11,1,0)</f>
        <v>0</v>
      </c>
      <c r="Z3" s="4" t="s">
        <v>8</v>
      </c>
      <c r="AA3" s="4"/>
      <c r="AK3" s="4" t="s">
        <v>8</v>
      </c>
      <c r="AL3" s="4"/>
    </row>
    <row r="4" spans="1:45" x14ac:dyDescent="0.2">
      <c r="A4" s="7">
        <v>43891</v>
      </c>
      <c r="B4">
        <v>9.74</v>
      </c>
      <c r="C4">
        <f t="shared" si="0"/>
        <v>1</v>
      </c>
      <c r="D4">
        <v>3</v>
      </c>
      <c r="E4">
        <f t="shared" si="1"/>
        <v>1</v>
      </c>
      <c r="F4">
        <f t="shared" si="2"/>
        <v>0</v>
      </c>
      <c r="G4">
        <f t="shared" si="3"/>
        <v>0</v>
      </c>
      <c r="H4">
        <f t="shared" si="4"/>
        <v>3</v>
      </c>
      <c r="I4">
        <v>3</v>
      </c>
      <c r="J4">
        <f t="shared" si="5"/>
        <v>0</v>
      </c>
      <c r="K4">
        <f t="shared" si="6"/>
        <v>0</v>
      </c>
      <c r="L4">
        <f t="shared" si="7"/>
        <v>1</v>
      </c>
      <c r="M4">
        <f t="shared" si="8"/>
        <v>0</v>
      </c>
      <c r="N4">
        <f t="shared" si="9"/>
        <v>0</v>
      </c>
      <c r="O4">
        <f t="shared" si="10"/>
        <v>0</v>
      </c>
      <c r="P4">
        <f t="shared" si="11"/>
        <v>0</v>
      </c>
      <c r="Q4">
        <f t="shared" si="12"/>
        <v>0</v>
      </c>
      <c r="R4">
        <f t="shared" si="13"/>
        <v>0</v>
      </c>
      <c r="S4">
        <f t="shared" si="14"/>
        <v>0</v>
      </c>
      <c r="T4">
        <f t="shared" si="15"/>
        <v>0</v>
      </c>
      <c r="Z4" t="s">
        <v>9</v>
      </c>
      <c r="AA4">
        <v>0.94064087833027832</v>
      </c>
      <c r="AD4" t="s">
        <v>32</v>
      </c>
      <c r="AE4" t="s">
        <v>54</v>
      </c>
      <c r="AK4" t="s">
        <v>9</v>
      </c>
      <c r="AL4">
        <v>0.9475556579374691</v>
      </c>
      <c r="AO4" t="s">
        <v>32</v>
      </c>
      <c r="AP4" t="s">
        <v>54</v>
      </c>
    </row>
    <row r="5" spans="1:45" x14ac:dyDescent="0.2">
      <c r="A5" s="7">
        <v>43922</v>
      </c>
      <c r="B5">
        <v>13.6</v>
      </c>
      <c r="C5">
        <f t="shared" si="0"/>
        <v>2</v>
      </c>
      <c r="D5">
        <v>4</v>
      </c>
      <c r="E5">
        <f t="shared" si="1"/>
        <v>0</v>
      </c>
      <c r="F5">
        <f t="shared" si="2"/>
        <v>1</v>
      </c>
      <c r="G5">
        <f t="shared" si="3"/>
        <v>0</v>
      </c>
      <c r="H5">
        <f t="shared" si="4"/>
        <v>4</v>
      </c>
      <c r="I5">
        <v>4</v>
      </c>
      <c r="J5">
        <f t="shared" si="5"/>
        <v>0</v>
      </c>
      <c r="K5">
        <f t="shared" si="6"/>
        <v>0</v>
      </c>
      <c r="L5">
        <f t="shared" si="7"/>
        <v>0</v>
      </c>
      <c r="M5">
        <f t="shared" si="8"/>
        <v>1</v>
      </c>
      <c r="N5">
        <f t="shared" si="9"/>
        <v>0</v>
      </c>
      <c r="O5">
        <f t="shared" si="10"/>
        <v>0</v>
      </c>
      <c r="P5">
        <f t="shared" si="11"/>
        <v>0</v>
      </c>
      <c r="Q5">
        <f t="shared" si="12"/>
        <v>0</v>
      </c>
      <c r="R5">
        <f t="shared" si="13"/>
        <v>0</v>
      </c>
      <c r="S5">
        <f t="shared" si="14"/>
        <v>0</v>
      </c>
      <c r="T5">
        <f t="shared" si="15"/>
        <v>0</v>
      </c>
      <c r="Z5" t="s">
        <v>10</v>
      </c>
      <c r="AA5">
        <v>0.88480526198595755</v>
      </c>
      <c r="AD5">
        <v>52</v>
      </c>
      <c r="AE5">
        <f>$AA$18*AD5+$AA$17</f>
        <v>35.456762814596026</v>
      </c>
      <c r="AK5" t="s">
        <v>10</v>
      </c>
      <c r="AL5">
        <v>0.89786172488930993</v>
      </c>
      <c r="AO5">
        <v>52</v>
      </c>
      <c r="AP5">
        <f>$AL$18*AO5+$AL$17</f>
        <v>35.4651</v>
      </c>
    </row>
    <row r="6" spans="1:45" x14ac:dyDescent="0.2">
      <c r="A6" s="7">
        <v>43952</v>
      </c>
      <c r="B6">
        <v>16.39</v>
      </c>
      <c r="C6">
        <f t="shared" si="0"/>
        <v>2</v>
      </c>
      <c r="D6">
        <v>5</v>
      </c>
      <c r="E6">
        <f t="shared" si="1"/>
        <v>0</v>
      </c>
      <c r="F6">
        <f t="shared" si="2"/>
        <v>1</v>
      </c>
      <c r="G6">
        <f t="shared" si="3"/>
        <v>0</v>
      </c>
      <c r="H6">
        <f t="shared" si="4"/>
        <v>5</v>
      </c>
      <c r="I6">
        <v>5</v>
      </c>
      <c r="J6">
        <f t="shared" si="5"/>
        <v>0</v>
      </c>
      <c r="K6">
        <f t="shared" si="6"/>
        <v>0</v>
      </c>
      <c r="L6">
        <f t="shared" si="7"/>
        <v>0</v>
      </c>
      <c r="M6">
        <f t="shared" si="8"/>
        <v>0</v>
      </c>
      <c r="N6">
        <f t="shared" si="9"/>
        <v>1</v>
      </c>
      <c r="O6">
        <f t="shared" si="10"/>
        <v>0</v>
      </c>
      <c r="P6">
        <f t="shared" si="11"/>
        <v>0</v>
      </c>
      <c r="Q6">
        <f t="shared" si="12"/>
        <v>0</v>
      </c>
      <c r="R6">
        <f t="shared" si="13"/>
        <v>0</v>
      </c>
      <c r="S6">
        <f t="shared" si="14"/>
        <v>0</v>
      </c>
      <c r="T6">
        <f t="shared" si="15"/>
        <v>0</v>
      </c>
      <c r="Z6" t="s">
        <v>11</v>
      </c>
      <c r="AA6">
        <v>0.87478832824560604</v>
      </c>
      <c r="AC6" t="s">
        <v>53</v>
      </c>
      <c r="AD6">
        <v>53</v>
      </c>
      <c r="AE6">
        <f t="shared" ref="AE6:AE7" si="16">$AA$18*AD6+$AA$17</f>
        <v>35.958977139868317</v>
      </c>
      <c r="AK6" t="s">
        <v>11</v>
      </c>
      <c r="AL6">
        <v>0.86560753274909197</v>
      </c>
      <c r="AN6" t="s">
        <v>53</v>
      </c>
      <c r="AO6">
        <v>53</v>
      </c>
      <c r="AP6">
        <f t="shared" ref="AP6:AP7" si="17">$AL$18*AO6+$AL$17</f>
        <v>35.968399999999995</v>
      </c>
    </row>
    <row r="7" spans="1:45" x14ac:dyDescent="0.2">
      <c r="A7" s="7">
        <v>43983</v>
      </c>
      <c r="B7">
        <v>10.78</v>
      </c>
      <c r="C7">
        <f t="shared" si="0"/>
        <v>2</v>
      </c>
      <c r="D7">
        <v>6</v>
      </c>
      <c r="E7">
        <f t="shared" si="1"/>
        <v>0</v>
      </c>
      <c r="F7">
        <f t="shared" si="2"/>
        <v>1</v>
      </c>
      <c r="G7">
        <f t="shared" si="3"/>
        <v>0</v>
      </c>
      <c r="H7">
        <f t="shared" si="4"/>
        <v>6</v>
      </c>
      <c r="I7">
        <v>6</v>
      </c>
      <c r="J7">
        <f t="shared" si="5"/>
        <v>0</v>
      </c>
      <c r="K7">
        <f t="shared" si="6"/>
        <v>0</v>
      </c>
      <c r="L7">
        <f t="shared" si="7"/>
        <v>0</v>
      </c>
      <c r="M7">
        <f t="shared" si="8"/>
        <v>0</v>
      </c>
      <c r="N7">
        <f t="shared" si="9"/>
        <v>0</v>
      </c>
      <c r="O7">
        <f t="shared" si="10"/>
        <v>1</v>
      </c>
      <c r="P7">
        <f t="shared" si="11"/>
        <v>0</v>
      </c>
      <c r="Q7">
        <f t="shared" si="12"/>
        <v>0</v>
      </c>
      <c r="R7">
        <f t="shared" si="13"/>
        <v>0</v>
      </c>
      <c r="S7">
        <f t="shared" si="14"/>
        <v>0</v>
      </c>
      <c r="T7">
        <f t="shared" si="15"/>
        <v>0</v>
      </c>
      <c r="Z7" t="s">
        <v>12</v>
      </c>
      <c r="AA7">
        <v>2.7912269456983272</v>
      </c>
      <c r="AC7">
        <f>AB13/AA8</f>
        <v>7.0271294445108037</v>
      </c>
      <c r="AD7">
        <v>54</v>
      </c>
      <c r="AE7">
        <f t="shared" si="16"/>
        <v>36.461191465140608</v>
      </c>
      <c r="AK7" t="s">
        <v>12</v>
      </c>
      <c r="AL7">
        <v>2.891746412773684</v>
      </c>
      <c r="AN7">
        <f>AM13/AL8</f>
        <v>6.2306568235294097</v>
      </c>
      <c r="AO7">
        <v>54</v>
      </c>
      <c r="AP7">
        <f t="shared" si="17"/>
        <v>36.471699999999998</v>
      </c>
    </row>
    <row r="8" spans="1:45" ht="16" thickBot="1" x14ac:dyDescent="0.25">
      <c r="A8" s="7">
        <v>44013</v>
      </c>
      <c r="B8">
        <v>13.64</v>
      </c>
      <c r="C8">
        <f t="shared" si="0"/>
        <v>3</v>
      </c>
      <c r="D8">
        <v>7</v>
      </c>
      <c r="E8">
        <f t="shared" si="1"/>
        <v>0</v>
      </c>
      <c r="F8">
        <f t="shared" si="2"/>
        <v>0</v>
      </c>
      <c r="G8">
        <f t="shared" si="3"/>
        <v>1</v>
      </c>
      <c r="H8">
        <f t="shared" si="4"/>
        <v>7</v>
      </c>
      <c r="I8">
        <v>7</v>
      </c>
      <c r="J8">
        <f t="shared" si="5"/>
        <v>0</v>
      </c>
      <c r="K8">
        <f t="shared" si="6"/>
        <v>0</v>
      </c>
      <c r="L8">
        <f t="shared" si="7"/>
        <v>0</v>
      </c>
      <c r="M8">
        <f t="shared" si="8"/>
        <v>0</v>
      </c>
      <c r="N8">
        <f t="shared" si="9"/>
        <v>0</v>
      </c>
      <c r="O8">
        <f t="shared" si="10"/>
        <v>0</v>
      </c>
      <c r="P8">
        <f t="shared" si="11"/>
        <v>1</v>
      </c>
      <c r="Q8">
        <f t="shared" si="12"/>
        <v>0</v>
      </c>
      <c r="R8">
        <f t="shared" si="13"/>
        <v>0</v>
      </c>
      <c r="S8">
        <f t="shared" si="14"/>
        <v>0</v>
      </c>
      <c r="T8">
        <f t="shared" si="15"/>
        <v>0</v>
      </c>
      <c r="Z8" s="5" t="s">
        <v>13</v>
      </c>
      <c r="AA8" s="5">
        <v>51</v>
      </c>
      <c r="AK8" s="5" t="s">
        <v>13</v>
      </c>
      <c r="AL8" s="5">
        <v>51</v>
      </c>
    </row>
    <row r="9" spans="1:45" x14ac:dyDescent="0.2">
      <c r="A9" s="7">
        <v>44044</v>
      </c>
      <c r="B9">
        <v>12.49</v>
      </c>
      <c r="C9">
        <f t="shared" si="0"/>
        <v>3</v>
      </c>
      <c r="D9">
        <v>8</v>
      </c>
      <c r="E9">
        <f t="shared" si="1"/>
        <v>0</v>
      </c>
      <c r="F9">
        <f t="shared" si="2"/>
        <v>0</v>
      </c>
      <c r="G9">
        <f t="shared" si="3"/>
        <v>1</v>
      </c>
      <c r="H9">
        <f t="shared" si="4"/>
        <v>8</v>
      </c>
      <c r="I9">
        <v>8</v>
      </c>
      <c r="J9">
        <f t="shared" si="5"/>
        <v>0</v>
      </c>
      <c r="K9">
        <f t="shared" si="6"/>
        <v>0</v>
      </c>
      <c r="L9">
        <f t="shared" si="7"/>
        <v>0</v>
      </c>
      <c r="M9">
        <f t="shared" si="8"/>
        <v>0</v>
      </c>
      <c r="N9">
        <f t="shared" si="9"/>
        <v>0</v>
      </c>
      <c r="O9">
        <f t="shared" si="10"/>
        <v>0</v>
      </c>
      <c r="P9">
        <f t="shared" si="11"/>
        <v>0</v>
      </c>
      <c r="Q9">
        <f t="shared" si="12"/>
        <v>1</v>
      </c>
      <c r="R9">
        <f t="shared" si="13"/>
        <v>0</v>
      </c>
      <c r="S9">
        <f t="shared" si="14"/>
        <v>0</v>
      </c>
      <c r="T9">
        <f t="shared" si="15"/>
        <v>0</v>
      </c>
    </row>
    <row r="10" spans="1:45" ht="16" thickBot="1" x14ac:dyDescent="0.25">
      <c r="A10" s="7">
        <v>44075</v>
      </c>
      <c r="B10">
        <v>16.8</v>
      </c>
      <c r="C10">
        <f t="shared" si="0"/>
        <v>3</v>
      </c>
      <c r="D10">
        <v>9</v>
      </c>
      <c r="E10">
        <f t="shared" si="1"/>
        <v>0</v>
      </c>
      <c r="F10">
        <f t="shared" si="2"/>
        <v>0</v>
      </c>
      <c r="G10">
        <f t="shared" si="3"/>
        <v>1</v>
      </c>
      <c r="H10">
        <f t="shared" si="4"/>
        <v>9</v>
      </c>
      <c r="I10">
        <v>9</v>
      </c>
      <c r="J10">
        <f t="shared" si="5"/>
        <v>0</v>
      </c>
      <c r="K10">
        <f t="shared" si="6"/>
        <v>0</v>
      </c>
      <c r="L10">
        <f t="shared" si="7"/>
        <v>0</v>
      </c>
      <c r="M10">
        <f t="shared" si="8"/>
        <v>0</v>
      </c>
      <c r="N10">
        <f t="shared" si="9"/>
        <v>0</v>
      </c>
      <c r="O10">
        <f t="shared" si="10"/>
        <v>0</v>
      </c>
      <c r="P10">
        <f t="shared" si="11"/>
        <v>0</v>
      </c>
      <c r="Q10">
        <f t="shared" si="12"/>
        <v>0</v>
      </c>
      <c r="R10">
        <f t="shared" si="13"/>
        <v>1</v>
      </c>
      <c r="S10">
        <f t="shared" si="14"/>
        <v>0</v>
      </c>
      <c r="T10">
        <f t="shared" si="15"/>
        <v>0</v>
      </c>
      <c r="Z10" t="s">
        <v>14</v>
      </c>
      <c r="AK10" t="s">
        <v>14</v>
      </c>
    </row>
    <row r="11" spans="1:45" x14ac:dyDescent="0.2">
      <c r="A11" s="7">
        <v>44105</v>
      </c>
      <c r="B11">
        <v>15.42</v>
      </c>
      <c r="C11">
        <f t="shared" si="0"/>
        <v>4</v>
      </c>
      <c r="D11">
        <v>10</v>
      </c>
      <c r="E11">
        <f t="shared" si="1"/>
        <v>0</v>
      </c>
      <c r="F11">
        <f t="shared" si="2"/>
        <v>0</v>
      </c>
      <c r="G11">
        <f t="shared" si="3"/>
        <v>0</v>
      </c>
      <c r="H11">
        <f t="shared" si="4"/>
        <v>10</v>
      </c>
      <c r="I11">
        <v>10</v>
      </c>
      <c r="J11">
        <f t="shared" si="5"/>
        <v>0</v>
      </c>
      <c r="K11">
        <f t="shared" si="6"/>
        <v>0</v>
      </c>
      <c r="L11">
        <f t="shared" si="7"/>
        <v>0</v>
      </c>
      <c r="M11">
        <f t="shared" si="8"/>
        <v>0</v>
      </c>
      <c r="N11">
        <f t="shared" si="9"/>
        <v>0</v>
      </c>
      <c r="O11">
        <f t="shared" si="10"/>
        <v>0</v>
      </c>
      <c r="P11">
        <f t="shared" si="11"/>
        <v>0</v>
      </c>
      <c r="Q11">
        <f t="shared" si="12"/>
        <v>0</v>
      </c>
      <c r="R11">
        <f t="shared" si="13"/>
        <v>0</v>
      </c>
      <c r="S11">
        <f t="shared" si="14"/>
        <v>1</v>
      </c>
      <c r="T11">
        <f t="shared" si="15"/>
        <v>0</v>
      </c>
      <c r="Z11" s="3"/>
      <c r="AA11" s="3" t="s">
        <v>19</v>
      </c>
      <c r="AB11" s="3" t="s">
        <v>20</v>
      </c>
      <c r="AC11" s="3" t="s">
        <v>21</v>
      </c>
      <c r="AD11" s="3" t="s">
        <v>22</v>
      </c>
      <c r="AE11" s="3" t="s">
        <v>23</v>
      </c>
      <c r="AK11" s="3"/>
      <c r="AL11" s="3" t="s">
        <v>19</v>
      </c>
      <c r="AM11" s="3" t="s">
        <v>20</v>
      </c>
      <c r="AN11" s="3" t="s">
        <v>21</v>
      </c>
      <c r="AO11" s="3" t="s">
        <v>22</v>
      </c>
      <c r="AP11" s="3" t="s">
        <v>23</v>
      </c>
    </row>
    <row r="12" spans="1:45" x14ac:dyDescent="0.2">
      <c r="A12" s="7">
        <v>44136</v>
      </c>
      <c r="B12">
        <v>17.579999999999998</v>
      </c>
      <c r="C12">
        <f t="shared" si="0"/>
        <v>4</v>
      </c>
      <c r="D12">
        <v>11</v>
      </c>
      <c r="E12">
        <f t="shared" si="1"/>
        <v>0</v>
      </c>
      <c r="F12">
        <f t="shared" si="2"/>
        <v>0</v>
      </c>
      <c r="G12">
        <f t="shared" si="3"/>
        <v>0</v>
      </c>
      <c r="H12">
        <f t="shared" si="4"/>
        <v>11</v>
      </c>
      <c r="I12">
        <v>11</v>
      </c>
      <c r="J12">
        <f t="shared" si="5"/>
        <v>0</v>
      </c>
      <c r="K12">
        <f t="shared" si="6"/>
        <v>0</v>
      </c>
      <c r="L12">
        <f t="shared" si="7"/>
        <v>0</v>
      </c>
      <c r="M12">
        <f t="shared" si="8"/>
        <v>0</v>
      </c>
      <c r="N12">
        <f t="shared" si="9"/>
        <v>0</v>
      </c>
      <c r="O12">
        <f t="shared" si="10"/>
        <v>0</v>
      </c>
      <c r="P12">
        <f t="shared" si="11"/>
        <v>0</v>
      </c>
      <c r="Q12">
        <f t="shared" si="12"/>
        <v>0</v>
      </c>
      <c r="R12">
        <f t="shared" si="13"/>
        <v>0</v>
      </c>
      <c r="S12">
        <f t="shared" si="14"/>
        <v>0</v>
      </c>
      <c r="T12">
        <f t="shared" si="15"/>
        <v>1</v>
      </c>
      <c r="Z12" t="s">
        <v>15</v>
      </c>
      <c r="AA12">
        <v>4</v>
      </c>
      <c r="AB12">
        <v>2752.7272689181841</v>
      </c>
      <c r="AC12">
        <v>688.18181722954603</v>
      </c>
      <c r="AD12">
        <v>88.330948863290416</v>
      </c>
      <c r="AE12">
        <v>5.5253428268622959E-21</v>
      </c>
      <c r="AK12" t="s">
        <v>15</v>
      </c>
      <c r="AL12">
        <v>12</v>
      </c>
      <c r="AM12">
        <v>2793.3473725882354</v>
      </c>
      <c r="AN12">
        <v>232.77894771568629</v>
      </c>
      <c r="AO12">
        <v>27.837055133362366</v>
      </c>
      <c r="AP12">
        <v>3.815064183839693E-15</v>
      </c>
    </row>
    <row r="13" spans="1:45" x14ac:dyDescent="0.2">
      <c r="A13" s="7">
        <v>44166</v>
      </c>
      <c r="B13">
        <v>13.22</v>
      </c>
      <c r="C13">
        <f t="shared" si="0"/>
        <v>4</v>
      </c>
      <c r="D13">
        <v>12</v>
      </c>
      <c r="E13">
        <f t="shared" si="1"/>
        <v>0</v>
      </c>
      <c r="F13">
        <f t="shared" si="2"/>
        <v>0</v>
      </c>
      <c r="G13">
        <f t="shared" si="3"/>
        <v>0</v>
      </c>
      <c r="H13">
        <f t="shared" si="4"/>
        <v>12</v>
      </c>
      <c r="I13">
        <v>12</v>
      </c>
      <c r="J13">
        <f t="shared" si="5"/>
        <v>0</v>
      </c>
      <c r="K13">
        <f t="shared" si="6"/>
        <v>0</v>
      </c>
      <c r="L13">
        <f t="shared" si="7"/>
        <v>0</v>
      </c>
      <c r="M13">
        <f t="shared" si="8"/>
        <v>0</v>
      </c>
      <c r="N13">
        <f t="shared" si="9"/>
        <v>0</v>
      </c>
      <c r="O13">
        <f t="shared" si="10"/>
        <v>0</v>
      </c>
      <c r="P13">
        <f t="shared" si="11"/>
        <v>0</v>
      </c>
      <c r="Q13">
        <f t="shared" si="12"/>
        <v>0</v>
      </c>
      <c r="R13">
        <f t="shared" si="13"/>
        <v>0</v>
      </c>
      <c r="S13">
        <f t="shared" si="14"/>
        <v>0</v>
      </c>
      <c r="T13">
        <f t="shared" si="15"/>
        <v>0</v>
      </c>
      <c r="Z13" t="s">
        <v>16</v>
      </c>
      <c r="AA13">
        <v>46</v>
      </c>
      <c r="AB13" s="1">
        <v>358.38360167005101</v>
      </c>
      <c r="AC13">
        <v>7.7909478623924135</v>
      </c>
      <c r="AK13" t="s">
        <v>16</v>
      </c>
      <c r="AL13">
        <v>38</v>
      </c>
      <c r="AM13" s="1">
        <v>317.76349799999991</v>
      </c>
      <c r="AN13">
        <v>8.3621973157894711</v>
      </c>
    </row>
    <row r="14" spans="1:45" ht="16" thickBot="1" x14ac:dyDescent="0.25">
      <c r="A14" s="7">
        <v>44197</v>
      </c>
      <c r="B14">
        <v>13.96</v>
      </c>
      <c r="C14">
        <f t="shared" si="0"/>
        <v>1</v>
      </c>
      <c r="D14">
        <v>13</v>
      </c>
      <c r="E14">
        <f t="shared" si="1"/>
        <v>1</v>
      </c>
      <c r="F14">
        <f t="shared" si="2"/>
        <v>0</v>
      </c>
      <c r="G14">
        <f t="shared" si="3"/>
        <v>0</v>
      </c>
      <c r="H14">
        <f t="shared" si="4"/>
        <v>1</v>
      </c>
      <c r="I14">
        <v>13</v>
      </c>
      <c r="J14">
        <f t="shared" si="5"/>
        <v>1</v>
      </c>
      <c r="K14">
        <f t="shared" si="6"/>
        <v>0</v>
      </c>
      <c r="L14">
        <f t="shared" si="7"/>
        <v>0</v>
      </c>
      <c r="M14">
        <f t="shared" si="8"/>
        <v>0</v>
      </c>
      <c r="N14">
        <f t="shared" si="9"/>
        <v>0</v>
      </c>
      <c r="O14">
        <f t="shared" si="10"/>
        <v>0</v>
      </c>
      <c r="P14">
        <f t="shared" si="11"/>
        <v>0</v>
      </c>
      <c r="Q14">
        <f t="shared" si="12"/>
        <v>0</v>
      </c>
      <c r="R14">
        <f t="shared" si="13"/>
        <v>0</v>
      </c>
      <c r="S14">
        <f t="shared" si="14"/>
        <v>0</v>
      </c>
      <c r="T14">
        <f t="shared" si="15"/>
        <v>0</v>
      </c>
      <c r="Z14" s="2" t="s">
        <v>17</v>
      </c>
      <c r="AA14" s="2">
        <v>50</v>
      </c>
      <c r="AB14" s="2">
        <v>3111.1108705882352</v>
      </c>
      <c r="AC14" s="2"/>
      <c r="AD14" s="2"/>
      <c r="AE14" s="2"/>
      <c r="AK14" s="2" t="s">
        <v>17</v>
      </c>
      <c r="AL14" s="2">
        <v>50</v>
      </c>
      <c r="AM14" s="2">
        <v>3111.1108705882352</v>
      </c>
      <c r="AN14" s="2"/>
      <c r="AO14" s="2"/>
      <c r="AP14" s="2"/>
    </row>
    <row r="15" spans="1:45" ht="16" thickBot="1" x14ac:dyDescent="0.25">
      <c r="A15" s="7">
        <v>44228</v>
      </c>
      <c r="B15">
        <v>15.98</v>
      </c>
      <c r="C15">
        <f t="shared" si="0"/>
        <v>1</v>
      </c>
      <c r="D15">
        <v>14</v>
      </c>
      <c r="E15">
        <f t="shared" si="1"/>
        <v>1</v>
      </c>
      <c r="F15">
        <f t="shared" si="2"/>
        <v>0</v>
      </c>
      <c r="G15">
        <f t="shared" si="3"/>
        <v>0</v>
      </c>
      <c r="H15">
        <f t="shared" si="4"/>
        <v>2</v>
      </c>
      <c r="I15">
        <v>14</v>
      </c>
      <c r="J15">
        <f t="shared" si="5"/>
        <v>0</v>
      </c>
      <c r="K15">
        <f t="shared" si="6"/>
        <v>1</v>
      </c>
      <c r="L15">
        <f t="shared" si="7"/>
        <v>0</v>
      </c>
      <c r="M15">
        <f t="shared" si="8"/>
        <v>0</v>
      </c>
      <c r="N15">
        <f t="shared" si="9"/>
        <v>0</v>
      </c>
      <c r="O15">
        <f t="shared" si="10"/>
        <v>0</v>
      </c>
      <c r="P15">
        <f t="shared" si="11"/>
        <v>0</v>
      </c>
      <c r="Q15">
        <f t="shared" si="12"/>
        <v>0</v>
      </c>
      <c r="R15">
        <f t="shared" si="13"/>
        <v>0</v>
      </c>
      <c r="S15">
        <f t="shared" si="14"/>
        <v>0</v>
      </c>
      <c r="T15">
        <f t="shared" si="15"/>
        <v>0</v>
      </c>
    </row>
    <row r="16" spans="1:45" x14ac:dyDescent="0.2">
      <c r="A16" s="7">
        <v>44256</v>
      </c>
      <c r="B16">
        <v>18.3</v>
      </c>
      <c r="C16">
        <f t="shared" si="0"/>
        <v>1</v>
      </c>
      <c r="D16">
        <v>15</v>
      </c>
      <c r="E16">
        <f t="shared" si="1"/>
        <v>1</v>
      </c>
      <c r="F16">
        <f t="shared" si="2"/>
        <v>0</v>
      </c>
      <c r="G16">
        <f t="shared" si="3"/>
        <v>0</v>
      </c>
      <c r="H16">
        <f t="shared" si="4"/>
        <v>3</v>
      </c>
      <c r="I16">
        <v>15</v>
      </c>
      <c r="J16">
        <f t="shared" si="5"/>
        <v>0</v>
      </c>
      <c r="K16">
        <f t="shared" si="6"/>
        <v>0</v>
      </c>
      <c r="L16">
        <f t="shared" si="7"/>
        <v>1</v>
      </c>
      <c r="M16">
        <f t="shared" si="8"/>
        <v>0</v>
      </c>
      <c r="N16">
        <f t="shared" si="9"/>
        <v>0</v>
      </c>
      <c r="O16">
        <f t="shared" si="10"/>
        <v>0</v>
      </c>
      <c r="P16">
        <f t="shared" si="11"/>
        <v>0</v>
      </c>
      <c r="Q16">
        <f t="shared" si="12"/>
        <v>0</v>
      </c>
      <c r="R16">
        <f t="shared" si="13"/>
        <v>0</v>
      </c>
      <c r="S16">
        <f t="shared" si="14"/>
        <v>0</v>
      </c>
      <c r="T16">
        <f t="shared" si="15"/>
        <v>0</v>
      </c>
      <c r="Z16" s="3"/>
      <c r="AA16" s="3" t="s">
        <v>24</v>
      </c>
      <c r="AB16" s="3" t="s">
        <v>12</v>
      </c>
      <c r="AC16" s="3" t="s">
        <v>25</v>
      </c>
      <c r="AD16" s="3" t="s">
        <v>26</v>
      </c>
      <c r="AE16" s="3" t="s">
        <v>27</v>
      </c>
      <c r="AF16" s="3" t="s">
        <v>28</v>
      </c>
      <c r="AG16" s="3" t="s">
        <v>29</v>
      </c>
      <c r="AH16" s="3" t="s">
        <v>30</v>
      </c>
      <c r="AK16" s="3"/>
      <c r="AL16" s="3" t="s">
        <v>24</v>
      </c>
      <c r="AM16" s="3" t="s">
        <v>12</v>
      </c>
      <c r="AN16" s="3" t="s">
        <v>25</v>
      </c>
      <c r="AO16" s="3" t="s">
        <v>26</v>
      </c>
      <c r="AP16" s="3" t="s">
        <v>27</v>
      </c>
      <c r="AQ16" s="3" t="s">
        <v>28</v>
      </c>
      <c r="AR16" s="3" t="s">
        <v>29</v>
      </c>
      <c r="AS16" s="3" t="s">
        <v>30</v>
      </c>
    </row>
    <row r="17" spans="1:45" x14ac:dyDescent="0.2">
      <c r="A17" s="7">
        <v>44287</v>
      </c>
      <c r="B17">
        <v>15.12</v>
      </c>
      <c r="C17">
        <f t="shared" si="0"/>
        <v>2</v>
      </c>
      <c r="D17">
        <v>16</v>
      </c>
      <c r="E17">
        <f t="shared" si="1"/>
        <v>0</v>
      </c>
      <c r="F17">
        <f t="shared" si="2"/>
        <v>1</v>
      </c>
      <c r="G17">
        <f t="shared" si="3"/>
        <v>0</v>
      </c>
      <c r="H17">
        <f t="shared" si="4"/>
        <v>4</v>
      </c>
      <c r="I17">
        <v>16</v>
      </c>
      <c r="J17">
        <f t="shared" si="5"/>
        <v>0</v>
      </c>
      <c r="K17">
        <f t="shared" si="6"/>
        <v>0</v>
      </c>
      <c r="L17">
        <f t="shared" si="7"/>
        <v>0</v>
      </c>
      <c r="M17">
        <f t="shared" si="8"/>
        <v>1</v>
      </c>
      <c r="N17">
        <f t="shared" si="9"/>
        <v>0</v>
      </c>
      <c r="O17">
        <f t="shared" si="10"/>
        <v>0</v>
      </c>
      <c r="P17">
        <f t="shared" si="11"/>
        <v>0</v>
      </c>
      <c r="Q17">
        <f t="shared" si="12"/>
        <v>0</v>
      </c>
      <c r="R17">
        <f t="shared" si="13"/>
        <v>0</v>
      </c>
      <c r="S17">
        <f t="shared" si="14"/>
        <v>0</v>
      </c>
      <c r="T17">
        <f t="shared" si="15"/>
        <v>0</v>
      </c>
      <c r="Z17" t="s">
        <v>18</v>
      </c>
      <c r="AA17">
        <v>9.341617900436896</v>
      </c>
      <c r="AB17">
        <v>1.1198328953729424</v>
      </c>
      <c r="AC17">
        <v>8.3419748955720934</v>
      </c>
      <c r="AD17">
        <v>9.3107203974105981E-11</v>
      </c>
      <c r="AE17">
        <v>7.087511193815498</v>
      </c>
      <c r="AF17">
        <v>11.595724607058294</v>
      </c>
      <c r="AG17">
        <v>7.087511193815498</v>
      </c>
      <c r="AH17">
        <v>11.595724607058294</v>
      </c>
      <c r="AK17" t="s">
        <v>18</v>
      </c>
      <c r="AL17">
        <v>9.2934999999999999</v>
      </c>
      <c r="AM17">
        <v>1.6695505698430217</v>
      </c>
      <c r="AN17">
        <v>5.5664681069671431</v>
      </c>
      <c r="AO17">
        <v>2.238766784547804E-6</v>
      </c>
      <c r="AP17">
        <v>5.9136715700538822</v>
      </c>
      <c r="AQ17">
        <v>12.673328429946118</v>
      </c>
      <c r="AR17">
        <v>5.9136715700538822</v>
      </c>
      <c r="AS17">
        <v>12.673328429946118</v>
      </c>
    </row>
    <row r="18" spans="1:45" x14ac:dyDescent="0.2">
      <c r="A18" s="7">
        <v>44317</v>
      </c>
      <c r="B18">
        <v>19.47</v>
      </c>
      <c r="C18">
        <f t="shared" si="0"/>
        <v>2</v>
      </c>
      <c r="D18">
        <v>17</v>
      </c>
      <c r="E18">
        <f t="shared" si="1"/>
        <v>0</v>
      </c>
      <c r="F18">
        <f t="shared" si="2"/>
        <v>1</v>
      </c>
      <c r="G18">
        <f t="shared" si="3"/>
        <v>0</v>
      </c>
      <c r="H18">
        <f t="shared" si="4"/>
        <v>5</v>
      </c>
      <c r="I18">
        <v>17</v>
      </c>
      <c r="J18">
        <f t="shared" si="5"/>
        <v>0</v>
      </c>
      <c r="K18">
        <f t="shared" si="6"/>
        <v>0</v>
      </c>
      <c r="L18">
        <f t="shared" si="7"/>
        <v>0</v>
      </c>
      <c r="M18">
        <f t="shared" si="8"/>
        <v>0</v>
      </c>
      <c r="N18">
        <f t="shared" si="9"/>
        <v>1</v>
      </c>
      <c r="O18">
        <f t="shared" si="10"/>
        <v>0</v>
      </c>
      <c r="P18">
        <f t="shared" si="11"/>
        <v>0</v>
      </c>
      <c r="Q18">
        <f t="shared" si="12"/>
        <v>0</v>
      </c>
      <c r="R18">
        <f t="shared" si="13"/>
        <v>0</v>
      </c>
      <c r="S18">
        <f t="shared" si="14"/>
        <v>0</v>
      </c>
      <c r="T18">
        <f t="shared" si="15"/>
        <v>0</v>
      </c>
      <c r="Z18" t="s">
        <v>3</v>
      </c>
      <c r="AA18">
        <v>0.50221432527229093</v>
      </c>
      <c r="AB18">
        <v>2.6816415952144054E-2</v>
      </c>
      <c r="AC18">
        <v>18.727869010106751</v>
      </c>
      <c r="AD18">
        <v>3.7303494307863062E-23</v>
      </c>
      <c r="AE18">
        <v>0.44823567962342736</v>
      </c>
      <c r="AF18">
        <v>0.55619297092115449</v>
      </c>
      <c r="AG18">
        <v>0.44823567962342736</v>
      </c>
      <c r="AH18">
        <v>0.55619297092115449</v>
      </c>
      <c r="AK18" t="s">
        <v>3</v>
      </c>
      <c r="AL18">
        <v>0.50329999999999997</v>
      </c>
      <c r="AM18">
        <v>2.7825842830717019E-2</v>
      </c>
      <c r="AN18">
        <v>18.087502436562527</v>
      </c>
      <c r="AO18">
        <v>2.8877460803992933E-20</v>
      </c>
      <c r="AP18">
        <v>0.44696952616756469</v>
      </c>
      <c r="AQ18">
        <v>0.55963047383243525</v>
      </c>
      <c r="AR18">
        <v>0.44696952616756469</v>
      </c>
      <c r="AS18">
        <v>0.55963047383243525</v>
      </c>
    </row>
    <row r="19" spans="1:45" x14ac:dyDescent="0.2">
      <c r="A19" s="7">
        <v>44348</v>
      </c>
      <c r="B19">
        <v>17.66</v>
      </c>
      <c r="C19">
        <f t="shared" si="0"/>
        <v>2</v>
      </c>
      <c r="D19">
        <v>18</v>
      </c>
      <c r="E19">
        <f t="shared" si="1"/>
        <v>0</v>
      </c>
      <c r="F19">
        <f t="shared" si="2"/>
        <v>1</v>
      </c>
      <c r="G19">
        <f t="shared" si="3"/>
        <v>0</v>
      </c>
      <c r="H19">
        <f t="shared" si="4"/>
        <v>6</v>
      </c>
      <c r="I19">
        <v>18</v>
      </c>
      <c r="J19">
        <f t="shared" si="5"/>
        <v>0</v>
      </c>
      <c r="K19">
        <f t="shared" si="6"/>
        <v>0</v>
      </c>
      <c r="L19">
        <f t="shared" si="7"/>
        <v>0</v>
      </c>
      <c r="M19">
        <f t="shared" si="8"/>
        <v>0</v>
      </c>
      <c r="N19">
        <f t="shared" si="9"/>
        <v>0</v>
      </c>
      <c r="O19">
        <f t="shared" si="10"/>
        <v>1</v>
      </c>
      <c r="P19">
        <f t="shared" si="11"/>
        <v>0</v>
      </c>
      <c r="Q19">
        <f t="shared" si="12"/>
        <v>0</v>
      </c>
      <c r="R19">
        <f t="shared" si="13"/>
        <v>0</v>
      </c>
      <c r="S19">
        <f t="shared" si="14"/>
        <v>0</v>
      </c>
      <c r="T19">
        <f t="shared" si="15"/>
        <v>0</v>
      </c>
      <c r="Z19" t="s">
        <v>4</v>
      </c>
      <c r="AA19">
        <v>0.86280964248354142</v>
      </c>
      <c r="AB19">
        <v>1.0840268727478708</v>
      </c>
      <c r="AC19">
        <v>0.79593012329706203</v>
      </c>
      <c r="AD19">
        <v>0.43016106375240559</v>
      </c>
      <c r="AE19">
        <v>-1.3192232787810405</v>
      </c>
      <c r="AF19">
        <v>3.0448425637481233</v>
      </c>
      <c r="AG19">
        <v>-1.3192232787810405</v>
      </c>
      <c r="AH19">
        <v>3.0448425637481233</v>
      </c>
      <c r="AK19" t="s">
        <v>36</v>
      </c>
      <c r="AL19">
        <v>1.7920000000000018</v>
      </c>
      <c r="AM19">
        <v>1.944825372709913</v>
      </c>
      <c r="AN19">
        <v>0.92141948842586063</v>
      </c>
      <c r="AO19">
        <v>0.36264465830271519</v>
      </c>
      <c r="AP19">
        <v>-2.1450931343418684</v>
      </c>
      <c r="AQ19">
        <v>5.7290931343418716</v>
      </c>
      <c r="AR19">
        <v>-2.1450931343418684</v>
      </c>
      <c r="AS19">
        <v>5.7290931343418716</v>
      </c>
    </row>
    <row r="20" spans="1:45" x14ac:dyDescent="0.2">
      <c r="A20" s="7">
        <v>44378</v>
      </c>
      <c r="B20">
        <v>23.1</v>
      </c>
      <c r="C20">
        <f t="shared" si="0"/>
        <v>3</v>
      </c>
      <c r="D20">
        <v>19</v>
      </c>
      <c r="E20">
        <f t="shared" si="1"/>
        <v>0</v>
      </c>
      <c r="F20">
        <f t="shared" si="2"/>
        <v>0</v>
      </c>
      <c r="G20">
        <f t="shared" si="3"/>
        <v>1</v>
      </c>
      <c r="H20">
        <f t="shared" si="4"/>
        <v>7</v>
      </c>
      <c r="I20">
        <v>19</v>
      </c>
      <c r="J20">
        <f t="shared" si="5"/>
        <v>0</v>
      </c>
      <c r="K20">
        <f t="shared" si="6"/>
        <v>0</v>
      </c>
      <c r="L20">
        <f t="shared" si="7"/>
        <v>0</v>
      </c>
      <c r="M20">
        <f t="shared" si="8"/>
        <v>0</v>
      </c>
      <c r="N20">
        <f t="shared" si="9"/>
        <v>0</v>
      </c>
      <c r="O20">
        <f t="shared" si="10"/>
        <v>0</v>
      </c>
      <c r="P20">
        <f t="shared" si="11"/>
        <v>1</v>
      </c>
      <c r="Q20">
        <f t="shared" si="12"/>
        <v>0</v>
      </c>
      <c r="R20">
        <f t="shared" si="13"/>
        <v>0</v>
      </c>
      <c r="S20">
        <f t="shared" si="14"/>
        <v>0</v>
      </c>
      <c r="T20">
        <f t="shared" si="15"/>
        <v>0</v>
      </c>
      <c r="Z20" t="s">
        <v>5</v>
      </c>
      <c r="AA20">
        <v>1.2791192849670794</v>
      </c>
      <c r="AB20">
        <v>1.1508169430110935</v>
      </c>
      <c r="AC20">
        <v>1.1114880544079278</v>
      </c>
      <c r="AD20">
        <v>0.27213404698314481</v>
      </c>
      <c r="AE20">
        <v>-1.0373550747818632</v>
      </c>
      <c r="AF20">
        <v>3.5955936447160219</v>
      </c>
      <c r="AG20">
        <v>-1.0373550747818632</v>
      </c>
      <c r="AH20">
        <v>3.5955936447160219</v>
      </c>
      <c r="AK20" t="s">
        <v>37</v>
      </c>
      <c r="AL20">
        <v>1.4207000000000019</v>
      </c>
      <c r="AM20">
        <v>1.9430329983232657</v>
      </c>
      <c r="AN20">
        <v>0.73117646546712822</v>
      </c>
      <c r="AO20">
        <v>0.46915630475087078</v>
      </c>
      <c r="AP20">
        <v>-2.5127646620939945</v>
      </c>
      <c r="AQ20">
        <v>5.3541646620939982</v>
      </c>
      <c r="AR20">
        <v>-2.5127646620939945</v>
      </c>
      <c r="AS20">
        <v>5.3541646620939982</v>
      </c>
    </row>
    <row r="21" spans="1:45" ht="16" thickBot="1" x14ac:dyDescent="0.25">
      <c r="A21" s="7">
        <v>44409</v>
      </c>
      <c r="B21">
        <v>22.99</v>
      </c>
      <c r="C21">
        <f t="shared" si="0"/>
        <v>3</v>
      </c>
      <c r="D21">
        <v>20</v>
      </c>
      <c r="E21">
        <f t="shared" si="1"/>
        <v>0</v>
      </c>
      <c r="F21">
        <f t="shared" si="2"/>
        <v>0</v>
      </c>
      <c r="G21">
        <f t="shared" si="3"/>
        <v>1</v>
      </c>
      <c r="H21">
        <f t="shared" si="4"/>
        <v>8</v>
      </c>
      <c r="I21">
        <v>20</v>
      </c>
      <c r="J21">
        <f t="shared" si="5"/>
        <v>0</v>
      </c>
      <c r="K21">
        <f t="shared" si="6"/>
        <v>0</v>
      </c>
      <c r="L21">
        <f t="shared" si="7"/>
        <v>0</v>
      </c>
      <c r="M21">
        <f t="shared" si="8"/>
        <v>0</v>
      </c>
      <c r="N21">
        <f t="shared" si="9"/>
        <v>0</v>
      </c>
      <c r="O21">
        <f t="shared" si="10"/>
        <v>0</v>
      </c>
      <c r="P21">
        <f t="shared" si="11"/>
        <v>0</v>
      </c>
      <c r="Q21">
        <f t="shared" si="12"/>
        <v>1</v>
      </c>
      <c r="R21">
        <f t="shared" si="13"/>
        <v>0</v>
      </c>
      <c r="S21">
        <f t="shared" si="14"/>
        <v>0</v>
      </c>
      <c r="T21">
        <f t="shared" si="15"/>
        <v>0</v>
      </c>
      <c r="Z21" s="2" t="s">
        <v>6</v>
      </c>
      <c r="AA21" s="2">
        <v>1.1533096424835405</v>
      </c>
      <c r="AB21" s="2">
        <v>1.1423499428281167</v>
      </c>
      <c r="AC21" s="2">
        <v>1.0095939950137265</v>
      </c>
      <c r="AD21" s="2">
        <v>0.3179711593830995</v>
      </c>
      <c r="AE21" s="2">
        <v>-1.1461215298610379</v>
      </c>
      <c r="AF21" s="2">
        <v>3.4527408148281191</v>
      </c>
      <c r="AG21" s="2">
        <v>-1.1461215298610379</v>
      </c>
      <c r="AH21" s="2">
        <v>3.4527408148281191</v>
      </c>
      <c r="AK21" t="s">
        <v>38</v>
      </c>
      <c r="AL21">
        <v>-0.5645999999999981</v>
      </c>
      <c r="AM21">
        <v>1.9416377854451687</v>
      </c>
      <c r="AN21">
        <v>-0.29078544115299526</v>
      </c>
      <c r="AO21">
        <v>0.7727966309729648</v>
      </c>
      <c r="AP21">
        <v>-4.4952402012861601</v>
      </c>
      <c r="AQ21">
        <v>3.3660402012861637</v>
      </c>
      <c r="AR21">
        <v>-4.4952402012861601</v>
      </c>
      <c r="AS21">
        <v>3.3660402012861637</v>
      </c>
    </row>
    <row r="22" spans="1:45" x14ac:dyDescent="0.2">
      <c r="A22" s="7">
        <v>44440</v>
      </c>
      <c r="B22">
        <v>20.72</v>
      </c>
      <c r="C22">
        <f t="shared" si="0"/>
        <v>3</v>
      </c>
      <c r="D22">
        <v>21</v>
      </c>
      <c r="E22">
        <f t="shared" si="1"/>
        <v>0</v>
      </c>
      <c r="F22">
        <f t="shared" si="2"/>
        <v>0</v>
      </c>
      <c r="G22">
        <f t="shared" si="3"/>
        <v>1</v>
      </c>
      <c r="H22">
        <f t="shared" si="4"/>
        <v>9</v>
      </c>
      <c r="I22">
        <v>21</v>
      </c>
      <c r="J22">
        <f t="shared" si="5"/>
        <v>0</v>
      </c>
      <c r="K22">
        <f t="shared" si="6"/>
        <v>0</v>
      </c>
      <c r="L22">
        <f t="shared" si="7"/>
        <v>0</v>
      </c>
      <c r="M22">
        <f t="shared" si="8"/>
        <v>0</v>
      </c>
      <c r="N22">
        <f t="shared" si="9"/>
        <v>0</v>
      </c>
      <c r="O22">
        <f t="shared" si="10"/>
        <v>0</v>
      </c>
      <c r="P22">
        <f t="shared" si="11"/>
        <v>0</v>
      </c>
      <c r="Q22">
        <f t="shared" si="12"/>
        <v>0</v>
      </c>
      <c r="R22">
        <f t="shared" si="13"/>
        <v>1</v>
      </c>
      <c r="S22">
        <f t="shared" si="14"/>
        <v>0</v>
      </c>
      <c r="T22">
        <f t="shared" si="15"/>
        <v>0</v>
      </c>
      <c r="AK22" t="s">
        <v>39</v>
      </c>
      <c r="AL22">
        <v>1.1339000000000004</v>
      </c>
      <c r="AM22">
        <v>2.0568549826776996</v>
      </c>
      <c r="AN22">
        <v>0.55127853424252693</v>
      </c>
      <c r="AO22">
        <v>0.58466995065523242</v>
      </c>
      <c r="AP22">
        <v>-3.0299852229459914</v>
      </c>
      <c r="AQ22">
        <v>5.2977852229459925</v>
      </c>
      <c r="AR22">
        <v>-3.0299852229459914</v>
      </c>
      <c r="AS22">
        <v>5.2977852229459925</v>
      </c>
    </row>
    <row r="23" spans="1:45" x14ac:dyDescent="0.2">
      <c r="A23" s="7">
        <v>44470</v>
      </c>
      <c r="B23">
        <v>20.57</v>
      </c>
      <c r="C23">
        <f t="shared" si="0"/>
        <v>4</v>
      </c>
      <c r="D23">
        <v>22</v>
      </c>
      <c r="E23">
        <f t="shared" si="1"/>
        <v>0</v>
      </c>
      <c r="F23">
        <f t="shared" si="2"/>
        <v>0</v>
      </c>
      <c r="G23">
        <f t="shared" si="3"/>
        <v>0</v>
      </c>
      <c r="H23">
        <f t="shared" si="4"/>
        <v>10</v>
      </c>
      <c r="I23">
        <v>22</v>
      </c>
      <c r="J23">
        <f t="shared" si="5"/>
        <v>0</v>
      </c>
      <c r="K23">
        <f t="shared" si="6"/>
        <v>0</v>
      </c>
      <c r="L23">
        <f t="shared" si="7"/>
        <v>0</v>
      </c>
      <c r="M23">
        <f t="shared" si="8"/>
        <v>0</v>
      </c>
      <c r="N23">
        <f t="shared" si="9"/>
        <v>0</v>
      </c>
      <c r="O23">
        <f t="shared" si="10"/>
        <v>0</v>
      </c>
      <c r="P23">
        <f t="shared" si="11"/>
        <v>0</v>
      </c>
      <c r="Q23">
        <f t="shared" si="12"/>
        <v>0</v>
      </c>
      <c r="R23">
        <f t="shared" si="13"/>
        <v>0</v>
      </c>
      <c r="S23">
        <f t="shared" si="14"/>
        <v>1</v>
      </c>
      <c r="T23">
        <f t="shared" si="15"/>
        <v>0</v>
      </c>
      <c r="AK23" t="s">
        <v>40</v>
      </c>
      <c r="AL23">
        <v>2.6306000000000029</v>
      </c>
      <c r="AM23">
        <v>2.0540297604532132</v>
      </c>
      <c r="AN23">
        <v>1.2807019891569498</v>
      </c>
      <c r="AO23">
        <v>0.20806021276195541</v>
      </c>
      <c r="AP23">
        <v>-1.5275658595629844</v>
      </c>
      <c r="AQ23">
        <v>6.7887658595629903</v>
      </c>
      <c r="AR23">
        <v>-1.5275658595629844</v>
      </c>
      <c r="AS23">
        <v>6.7887658595629903</v>
      </c>
    </row>
    <row r="24" spans="1:45" x14ac:dyDescent="0.2">
      <c r="A24" s="7">
        <v>44501</v>
      </c>
      <c r="B24">
        <v>18.899999999999999</v>
      </c>
      <c r="C24">
        <f t="shared" si="0"/>
        <v>4</v>
      </c>
      <c r="D24">
        <v>23</v>
      </c>
      <c r="E24">
        <f t="shared" si="1"/>
        <v>0</v>
      </c>
      <c r="F24">
        <f t="shared" si="2"/>
        <v>0</v>
      </c>
      <c r="G24">
        <f t="shared" si="3"/>
        <v>0</v>
      </c>
      <c r="H24">
        <f t="shared" si="4"/>
        <v>11</v>
      </c>
      <c r="I24">
        <v>23</v>
      </c>
      <c r="J24">
        <f t="shared" si="5"/>
        <v>0</v>
      </c>
      <c r="K24">
        <f t="shared" si="6"/>
        <v>0</v>
      </c>
      <c r="L24">
        <f t="shared" si="7"/>
        <v>0</v>
      </c>
      <c r="M24">
        <f t="shared" si="8"/>
        <v>0</v>
      </c>
      <c r="N24">
        <f t="shared" si="9"/>
        <v>0</v>
      </c>
      <c r="O24">
        <f t="shared" si="10"/>
        <v>0</v>
      </c>
      <c r="P24">
        <f t="shared" si="11"/>
        <v>0</v>
      </c>
      <c r="Q24">
        <f t="shared" si="12"/>
        <v>0</v>
      </c>
      <c r="R24">
        <f t="shared" si="13"/>
        <v>0</v>
      </c>
      <c r="S24">
        <f t="shared" si="14"/>
        <v>0</v>
      </c>
      <c r="T24">
        <f t="shared" si="15"/>
        <v>1</v>
      </c>
      <c r="AK24" t="s">
        <v>41</v>
      </c>
      <c r="AL24">
        <v>0.1423000000000017</v>
      </c>
      <c r="AM24">
        <v>2.0515780874603258</v>
      </c>
      <c r="AN24">
        <v>6.9361239949758222E-2</v>
      </c>
      <c r="AO24">
        <v>0.94506580364489068</v>
      </c>
      <c r="AP24">
        <v>-4.0109027070643641</v>
      </c>
      <c r="AQ24">
        <v>4.295502707064367</v>
      </c>
      <c r="AR24">
        <v>-4.0109027070643641</v>
      </c>
      <c r="AS24">
        <v>4.295502707064367</v>
      </c>
    </row>
    <row r="25" spans="1:45" x14ac:dyDescent="0.2">
      <c r="A25" s="7">
        <v>44531</v>
      </c>
      <c r="B25">
        <v>23.86</v>
      </c>
      <c r="C25">
        <f t="shared" si="0"/>
        <v>4</v>
      </c>
      <c r="D25">
        <v>24</v>
      </c>
      <c r="E25">
        <f t="shared" si="1"/>
        <v>0</v>
      </c>
      <c r="F25">
        <f t="shared" si="2"/>
        <v>0</v>
      </c>
      <c r="G25">
        <f t="shared" si="3"/>
        <v>0</v>
      </c>
      <c r="H25">
        <f t="shared" si="4"/>
        <v>12</v>
      </c>
      <c r="I25">
        <v>24</v>
      </c>
      <c r="J25">
        <f t="shared" si="5"/>
        <v>0</v>
      </c>
      <c r="K25">
        <f t="shared" si="6"/>
        <v>0</v>
      </c>
      <c r="L25">
        <f t="shared" si="7"/>
        <v>0</v>
      </c>
      <c r="M25">
        <f t="shared" si="8"/>
        <v>0</v>
      </c>
      <c r="N25">
        <f t="shared" si="9"/>
        <v>0</v>
      </c>
      <c r="O25">
        <f t="shared" si="10"/>
        <v>0</v>
      </c>
      <c r="P25">
        <f t="shared" si="11"/>
        <v>0</v>
      </c>
      <c r="Q25">
        <f t="shared" si="12"/>
        <v>0</v>
      </c>
      <c r="R25">
        <f t="shared" si="13"/>
        <v>0</v>
      </c>
      <c r="S25">
        <f t="shared" si="14"/>
        <v>0</v>
      </c>
      <c r="T25">
        <f t="shared" si="15"/>
        <v>0</v>
      </c>
      <c r="Z25" t="s">
        <v>31</v>
      </c>
      <c r="AK25" t="s">
        <v>42</v>
      </c>
      <c r="AL25">
        <v>0.95150000000000068</v>
      </c>
      <c r="AM25">
        <v>2.0495013042507995</v>
      </c>
      <c r="AN25">
        <v>0.46425928006316836</v>
      </c>
      <c r="AO25">
        <v>0.64511089891294526</v>
      </c>
      <c r="AP25">
        <v>-3.1974984792552887</v>
      </c>
      <c r="AQ25">
        <v>5.1004984792552897</v>
      </c>
      <c r="AR25">
        <v>-3.1974984792552887</v>
      </c>
      <c r="AS25">
        <v>5.1004984792552897</v>
      </c>
    </row>
    <row r="26" spans="1:45" ht="16" thickBot="1" x14ac:dyDescent="0.25">
      <c r="A26" s="7">
        <v>44562</v>
      </c>
      <c r="B26">
        <v>25.61</v>
      </c>
      <c r="C26">
        <f t="shared" si="0"/>
        <v>1</v>
      </c>
      <c r="D26">
        <v>25</v>
      </c>
      <c r="E26">
        <f t="shared" si="1"/>
        <v>1</v>
      </c>
      <c r="F26">
        <f t="shared" si="2"/>
        <v>0</v>
      </c>
      <c r="G26">
        <f t="shared" si="3"/>
        <v>0</v>
      </c>
      <c r="H26">
        <f t="shared" si="4"/>
        <v>1</v>
      </c>
      <c r="I26">
        <v>25</v>
      </c>
      <c r="J26">
        <f t="shared" si="5"/>
        <v>1</v>
      </c>
      <c r="K26">
        <f t="shared" si="6"/>
        <v>0</v>
      </c>
      <c r="L26">
        <f t="shared" si="7"/>
        <v>0</v>
      </c>
      <c r="M26">
        <f t="shared" si="8"/>
        <v>0</v>
      </c>
      <c r="N26">
        <f t="shared" si="9"/>
        <v>0</v>
      </c>
      <c r="O26">
        <f t="shared" si="10"/>
        <v>0</v>
      </c>
      <c r="P26">
        <f t="shared" si="11"/>
        <v>0</v>
      </c>
      <c r="Q26">
        <f t="shared" si="12"/>
        <v>0</v>
      </c>
      <c r="R26">
        <f t="shared" si="13"/>
        <v>0</v>
      </c>
      <c r="S26">
        <f t="shared" si="14"/>
        <v>0</v>
      </c>
      <c r="T26">
        <f t="shared" si="15"/>
        <v>0</v>
      </c>
      <c r="AK26" t="s">
        <v>43</v>
      </c>
      <c r="AL26">
        <v>0.15570000000000028</v>
      </c>
      <c r="AM26">
        <v>2.0478005514118247</v>
      </c>
      <c r="AN26">
        <v>7.6032795231281342E-2</v>
      </c>
      <c r="AO26">
        <v>0.93979190538096091</v>
      </c>
      <c r="AP26">
        <v>-3.9898554851338117</v>
      </c>
      <c r="AQ26">
        <v>4.3012554851338125</v>
      </c>
      <c r="AR26">
        <v>-3.9898554851338117</v>
      </c>
      <c r="AS26">
        <v>4.3012554851338125</v>
      </c>
    </row>
    <row r="27" spans="1:45" x14ac:dyDescent="0.2">
      <c r="A27" s="7">
        <v>44593</v>
      </c>
      <c r="B27">
        <v>22.84</v>
      </c>
      <c r="C27">
        <f t="shared" si="0"/>
        <v>1</v>
      </c>
      <c r="D27">
        <v>26</v>
      </c>
      <c r="E27">
        <f t="shared" si="1"/>
        <v>1</v>
      </c>
      <c r="F27">
        <f t="shared" si="2"/>
        <v>0</v>
      </c>
      <c r="G27">
        <f t="shared" si="3"/>
        <v>0</v>
      </c>
      <c r="H27">
        <f t="shared" si="4"/>
        <v>2</v>
      </c>
      <c r="I27">
        <v>26</v>
      </c>
      <c r="J27">
        <f t="shared" si="5"/>
        <v>0</v>
      </c>
      <c r="K27">
        <f t="shared" si="6"/>
        <v>1</v>
      </c>
      <c r="L27">
        <f t="shared" si="7"/>
        <v>0</v>
      </c>
      <c r="M27">
        <f t="shared" si="8"/>
        <v>0</v>
      </c>
      <c r="N27">
        <f t="shared" si="9"/>
        <v>0</v>
      </c>
      <c r="O27">
        <f t="shared" si="10"/>
        <v>0</v>
      </c>
      <c r="P27">
        <f t="shared" si="11"/>
        <v>0</v>
      </c>
      <c r="Q27">
        <f t="shared" si="12"/>
        <v>0</v>
      </c>
      <c r="R27">
        <f t="shared" si="13"/>
        <v>0</v>
      </c>
      <c r="S27">
        <f t="shared" si="14"/>
        <v>0</v>
      </c>
      <c r="T27">
        <f t="shared" si="15"/>
        <v>0</v>
      </c>
      <c r="Z27" s="3" t="s">
        <v>32</v>
      </c>
      <c r="AA27" s="3" t="s">
        <v>33</v>
      </c>
      <c r="AB27" s="3" t="s">
        <v>34</v>
      </c>
      <c r="AK27" t="s">
        <v>44</v>
      </c>
      <c r="AL27">
        <v>2.4124000000000025</v>
      </c>
      <c r="AM27">
        <v>2.0464767664593446</v>
      </c>
      <c r="AN27">
        <v>1.1788064440984345</v>
      </c>
      <c r="AO27">
        <v>0.24580394931428487</v>
      </c>
      <c r="AP27">
        <v>-1.7304756226017348</v>
      </c>
      <c r="AQ27">
        <v>6.5552756226017399</v>
      </c>
      <c r="AR27">
        <v>-1.7304756226017348</v>
      </c>
      <c r="AS27">
        <v>6.5552756226017399</v>
      </c>
    </row>
    <row r="28" spans="1:45" x14ac:dyDescent="0.2">
      <c r="A28" s="7">
        <v>44621</v>
      </c>
      <c r="B28">
        <v>18.190000000000001</v>
      </c>
      <c r="C28">
        <f t="shared" si="0"/>
        <v>1</v>
      </c>
      <c r="D28">
        <v>27</v>
      </c>
      <c r="E28">
        <f t="shared" si="1"/>
        <v>1</v>
      </c>
      <c r="F28">
        <f t="shared" si="2"/>
        <v>0</v>
      </c>
      <c r="G28">
        <f t="shared" si="3"/>
        <v>0</v>
      </c>
      <c r="H28">
        <f t="shared" si="4"/>
        <v>3</v>
      </c>
      <c r="I28">
        <v>27</v>
      </c>
      <c r="J28">
        <f t="shared" si="5"/>
        <v>0</v>
      </c>
      <c r="K28">
        <f t="shared" si="6"/>
        <v>0</v>
      </c>
      <c r="L28">
        <f t="shared" si="7"/>
        <v>1</v>
      </c>
      <c r="M28">
        <f t="shared" si="8"/>
        <v>0</v>
      </c>
      <c r="N28">
        <f t="shared" si="9"/>
        <v>0</v>
      </c>
      <c r="O28">
        <f t="shared" si="10"/>
        <v>0</v>
      </c>
      <c r="P28">
        <f t="shared" si="11"/>
        <v>0</v>
      </c>
      <c r="Q28">
        <f t="shared" si="12"/>
        <v>0</v>
      </c>
      <c r="R28">
        <f t="shared" si="13"/>
        <v>0</v>
      </c>
      <c r="S28">
        <f t="shared" si="14"/>
        <v>0</v>
      </c>
      <c r="T28">
        <f t="shared" si="15"/>
        <v>0</v>
      </c>
      <c r="Z28">
        <v>1</v>
      </c>
      <c r="AA28">
        <v>10.70664186819273</v>
      </c>
      <c r="AB28">
        <v>2.3333581318072696</v>
      </c>
      <c r="AK28" t="s">
        <v>45</v>
      </c>
      <c r="AL28">
        <v>0.46410000000000279</v>
      </c>
      <c r="AM28">
        <v>2.0455306812687257</v>
      </c>
      <c r="AN28">
        <v>0.22688488823455247</v>
      </c>
      <c r="AO28">
        <v>0.82172941896514851</v>
      </c>
      <c r="AP28">
        <v>-3.6768603732632821</v>
      </c>
      <c r="AQ28">
        <v>4.6050603732632878</v>
      </c>
      <c r="AR28">
        <v>-3.6768603732632821</v>
      </c>
      <c r="AS28">
        <v>4.6050603732632878</v>
      </c>
    </row>
    <row r="29" spans="1:45" ht="16" thickBot="1" x14ac:dyDescent="0.25">
      <c r="A29" s="7">
        <v>44652</v>
      </c>
      <c r="B29">
        <v>23.18</v>
      </c>
      <c r="C29">
        <f t="shared" si="0"/>
        <v>2</v>
      </c>
      <c r="D29">
        <v>28</v>
      </c>
      <c r="E29">
        <f t="shared" si="1"/>
        <v>0</v>
      </c>
      <c r="F29">
        <f t="shared" si="2"/>
        <v>1</v>
      </c>
      <c r="G29">
        <f t="shared" si="3"/>
        <v>0</v>
      </c>
      <c r="H29">
        <f t="shared" si="4"/>
        <v>4</v>
      </c>
      <c r="I29">
        <v>28</v>
      </c>
      <c r="J29">
        <f t="shared" si="5"/>
        <v>0</v>
      </c>
      <c r="K29">
        <f t="shared" si="6"/>
        <v>0</v>
      </c>
      <c r="L29">
        <f t="shared" si="7"/>
        <v>0</v>
      </c>
      <c r="M29">
        <f t="shared" si="8"/>
        <v>1</v>
      </c>
      <c r="N29">
        <f t="shared" si="9"/>
        <v>0</v>
      </c>
      <c r="O29">
        <f t="shared" si="10"/>
        <v>0</v>
      </c>
      <c r="P29">
        <f t="shared" si="11"/>
        <v>0</v>
      </c>
      <c r="Q29">
        <f t="shared" si="12"/>
        <v>0</v>
      </c>
      <c r="R29">
        <f t="shared" si="13"/>
        <v>0</v>
      </c>
      <c r="S29">
        <f t="shared" si="14"/>
        <v>0</v>
      </c>
      <c r="T29">
        <f t="shared" si="15"/>
        <v>0</v>
      </c>
      <c r="Z29">
        <v>2</v>
      </c>
      <c r="AA29">
        <v>11.208856193465021</v>
      </c>
      <c r="AB29">
        <v>0.69114380653497953</v>
      </c>
      <c r="AK29" s="2" t="s">
        <v>46</v>
      </c>
      <c r="AL29" s="2">
        <v>-0.4141999999999989</v>
      </c>
      <c r="AM29" s="2">
        <v>2.044962820059077</v>
      </c>
      <c r="AN29" s="2">
        <v>-0.20254646976321705</v>
      </c>
      <c r="AO29" s="2">
        <v>0.84057010790999653</v>
      </c>
      <c r="AP29" s="2">
        <v>-4.5540107983445592</v>
      </c>
      <c r="AQ29" s="2">
        <v>3.7256107983445612</v>
      </c>
      <c r="AR29" s="2">
        <v>-4.5540107983445592</v>
      </c>
      <c r="AS29" s="2">
        <v>3.7256107983445612</v>
      </c>
    </row>
    <row r="30" spans="1:45" x14ac:dyDescent="0.2">
      <c r="A30" s="7">
        <v>44682</v>
      </c>
      <c r="B30">
        <v>26.39</v>
      </c>
      <c r="C30">
        <f t="shared" si="0"/>
        <v>2</v>
      </c>
      <c r="D30">
        <v>29</v>
      </c>
      <c r="E30">
        <f t="shared" si="1"/>
        <v>0</v>
      </c>
      <c r="F30">
        <f t="shared" si="2"/>
        <v>1</v>
      </c>
      <c r="G30">
        <f t="shared" si="3"/>
        <v>0</v>
      </c>
      <c r="H30">
        <f t="shared" si="4"/>
        <v>5</v>
      </c>
      <c r="I30">
        <v>29</v>
      </c>
      <c r="J30">
        <f t="shared" si="5"/>
        <v>0</v>
      </c>
      <c r="K30">
        <f t="shared" si="6"/>
        <v>0</v>
      </c>
      <c r="L30">
        <f t="shared" si="7"/>
        <v>0</v>
      </c>
      <c r="M30">
        <f t="shared" si="8"/>
        <v>0</v>
      </c>
      <c r="N30">
        <f t="shared" si="9"/>
        <v>1</v>
      </c>
      <c r="O30">
        <f t="shared" si="10"/>
        <v>0</v>
      </c>
      <c r="P30">
        <f t="shared" si="11"/>
        <v>0</v>
      </c>
      <c r="Q30">
        <f t="shared" si="12"/>
        <v>0</v>
      </c>
      <c r="R30">
        <f t="shared" si="13"/>
        <v>0</v>
      </c>
      <c r="S30">
        <f t="shared" si="14"/>
        <v>0</v>
      </c>
      <c r="T30">
        <f t="shared" si="15"/>
        <v>0</v>
      </c>
      <c r="Z30">
        <v>3</v>
      </c>
      <c r="AA30">
        <v>11.711070518737309</v>
      </c>
      <c r="AB30">
        <v>-1.9710705187373083</v>
      </c>
    </row>
    <row r="31" spans="1:45" x14ac:dyDescent="0.2">
      <c r="A31" s="7">
        <v>44713</v>
      </c>
      <c r="B31">
        <v>29.54</v>
      </c>
      <c r="C31">
        <f t="shared" si="0"/>
        <v>2</v>
      </c>
      <c r="D31">
        <v>30</v>
      </c>
      <c r="E31">
        <f t="shared" si="1"/>
        <v>0</v>
      </c>
      <c r="F31">
        <f t="shared" si="2"/>
        <v>1</v>
      </c>
      <c r="G31">
        <f t="shared" si="3"/>
        <v>0</v>
      </c>
      <c r="H31">
        <f t="shared" si="4"/>
        <v>6</v>
      </c>
      <c r="I31">
        <v>30</v>
      </c>
      <c r="J31">
        <f t="shared" si="5"/>
        <v>0</v>
      </c>
      <c r="K31">
        <f t="shared" si="6"/>
        <v>0</v>
      </c>
      <c r="L31">
        <f t="shared" si="7"/>
        <v>0</v>
      </c>
      <c r="M31">
        <f t="shared" si="8"/>
        <v>0</v>
      </c>
      <c r="N31">
        <f t="shared" si="9"/>
        <v>0</v>
      </c>
      <c r="O31">
        <f t="shared" si="10"/>
        <v>1</v>
      </c>
      <c r="P31">
        <f t="shared" si="11"/>
        <v>0</v>
      </c>
      <c r="Q31">
        <f t="shared" si="12"/>
        <v>0</v>
      </c>
      <c r="R31">
        <f t="shared" si="13"/>
        <v>0</v>
      </c>
      <c r="S31">
        <f t="shared" si="14"/>
        <v>0</v>
      </c>
      <c r="T31">
        <f t="shared" si="15"/>
        <v>0</v>
      </c>
      <c r="Z31">
        <v>4</v>
      </c>
      <c r="AA31">
        <v>12.629594486493138</v>
      </c>
      <c r="AB31">
        <v>0.97040551350686144</v>
      </c>
    </row>
    <row r="32" spans="1:45" x14ac:dyDescent="0.2">
      <c r="A32" s="7">
        <v>44743</v>
      </c>
      <c r="B32">
        <v>26.59</v>
      </c>
      <c r="C32">
        <f t="shared" si="0"/>
        <v>3</v>
      </c>
      <c r="D32">
        <v>31</v>
      </c>
      <c r="E32">
        <f t="shared" si="1"/>
        <v>0</v>
      </c>
      <c r="F32">
        <f t="shared" si="2"/>
        <v>0</v>
      </c>
      <c r="G32">
        <f t="shared" si="3"/>
        <v>1</v>
      </c>
      <c r="H32">
        <f t="shared" si="4"/>
        <v>7</v>
      </c>
      <c r="I32">
        <v>31</v>
      </c>
      <c r="J32">
        <f t="shared" si="5"/>
        <v>0</v>
      </c>
      <c r="K32">
        <f t="shared" si="6"/>
        <v>0</v>
      </c>
      <c r="L32">
        <f t="shared" si="7"/>
        <v>0</v>
      </c>
      <c r="M32">
        <f t="shared" si="8"/>
        <v>0</v>
      </c>
      <c r="N32">
        <f t="shared" si="9"/>
        <v>0</v>
      </c>
      <c r="O32">
        <f t="shared" si="10"/>
        <v>0</v>
      </c>
      <c r="P32">
        <f t="shared" si="11"/>
        <v>1</v>
      </c>
      <c r="Q32">
        <f t="shared" si="12"/>
        <v>0</v>
      </c>
      <c r="R32">
        <f t="shared" si="13"/>
        <v>0</v>
      </c>
      <c r="S32">
        <f t="shared" si="14"/>
        <v>0</v>
      </c>
      <c r="T32">
        <f t="shared" si="15"/>
        <v>0</v>
      </c>
      <c r="Z32">
        <v>5</v>
      </c>
      <c r="AA32">
        <v>13.131808811765429</v>
      </c>
      <c r="AB32">
        <v>3.2581911882345711</v>
      </c>
    </row>
    <row r="33" spans="1:39" x14ac:dyDescent="0.2">
      <c r="A33" s="7">
        <v>44774</v>
      </c>
      <c r="B33">
        <v>21.05</v>
      </c>
      <c r="C33">
        <f t="shared" si="0"/>
        <v>3</v>
      </c>
      <c r="D33">
        <v>32</v>
      </c>
      <c r="E33">
        <f t="shared" si="1"/>
        <v>0</v>
      </c>
      <c r="F33">
        <f t="shared" si="2"/>
        <v>0</v>
      </c>
      <c r="G33">
        <f t="shared" si="3"/>
        <v>1</v>
      </c>
      <c r="H33">
        <f t="shared" si="4"/>
        <v>8</v>
      </c>
      <c r="I33">
        <v>32</v>
      </c>
      <c r="J33">
        <f t="shared" si="5"/>
        <v>0</v>
      </c>
      <c r="K33">
        <f t="shared" si="6"/>
        <v>0</v>
      </c>
      <c r="L33">
        <f t="shared" si="7"/>
        <v>0</v>
      </c>
      <c r="M33">
        <f t="shared" si="8"/>
        <v>0</v>
      </c>
      <c r="N33">
        <f t="shared" si="9"/>
        <v>0</v>
      </c>
      <c r="O33">
        <f t="shared" si="10"/>
        <v>0</v>
      </c>
      <c r="P33">
        <f t="shared" si="11"/>
        <v>0</v>
      </c>
      <c r="Q33">
        <f t="shared" si="12"/>
        <v>1</v>
      </c>
      <c r="R33">
        <f t="shared" si="13"/>
        <v>0</v>
      </c>
      <c r="S33">
        <f t="shared" si="14"/>
        <v>0</v>
      </c>
      <c r="T33">
        <f t="shared" si="15"/>
        <v>0</v>
      </c>
      <c r="Z33">
        <v>6</v>
      </c>
      <c r="AA33">
        <v>13.634023137037721</v>
      </c>
      <c r="AB33">
        <v>-2.8540231370377214</v>
      </c>
      <c r="AK33" t="s">
        <v>31</v>
      </c>
    </row>
    <row r="34" spans="1:39" ht="16" thickBot="1" x14ac:dyDescent="0.25">
      <c r="A34" s="7">
        <v>44805</v>
      </c>
      <c r="B34">
        <v>26.66</v>
      </c>
      <c r="C34">
        <f t="shared" si="0"/>
        <v>3</v>
      </c>
      <c r="D34">
        <v>33</v>
      </c>
      <c r="E34">
        <f t="shared" si="1"/>
        <v>0</v>
      </c>
      <c r="F34">
        <f t="shared" si="2"/>
        <v>0</v>
      </c>
      <c r="G34">
        <f t="shared" si="3"/>
        <v>1</v>
      </c>
      <c r="H34">
        <f t="shared" si="4"/>
        <v>9</v>
      </c>
      <c r="I34">
        <v>33</v>
      </c>
      <c r="J34">
        <f t="shared" si="5"/>
        <v>0</v>
      </c>
      <c r="K34">
        <f t="shared" si="6"/>
        <v>0</v>
      </c>
      <c r="L34">
        <f t="shared" si="7"/>
        <v>0</v>
      </c>
      <c r="M34">
        <f t="shared" si="8"/>
        <v>0</v>
      </c>
      <c r="N34">
        <f t="shared" si="9"/>
        <v>0</v>
      </c>
      <c r="O34">
        <f t="shared" si="10"/>
        <v>0</v>
      </c>
      <c r="P34">
        <f t="shared" si="11"/>
        <v>0</v>
      </c>
      <c r="Q34">
        <f t="shared" si="12"/>
        <v>0</v>
      </c>
      <c r="R34">
        <f t="shared" si="13"/>
        <v>1</v>
      </c>
      <c r="S34">
        <f t="shared" si="14"/>
        <v>0</v>
      </c>
      <c r="T34">
        <f t="shared" si="15"/>
        <v>0</v>
      </c>
      <c r="Z34">
        <v>7</v>
      </c>
      <c r="AA34">
        <v>14.010427819826473</v>
      </c>
      <c r="AB34">
        <v>-0.37042781982647277</v>
      </c>
    </row>
    <row r="35" spans="1:39" x14ac:dyDescent="0.2">
      <c r="A35" s="7">
        <v>44835</v>
      </c>
      <c r="B35">
        <v>29.28</v>
      </c>
      <c r="C35">
        <f t="shared" si="0"/>
        <v>4</v>
      </c>
      <c r="D35">
        <v>34</v>
      </c>
      <c r="E35">
        <f t="shared" si="1"/>
        <v>0</v>
      </c>
      <c r="F35">
        <f t="shared" si="2"/>
        <v>0</v>
      </c>
      <c r="G35">
        <f t="shared" si="3"/>
        <v>0</v>
      </c>
      <c r="H35">
        <f t="shared" si="4"/>
        <v>10</v>
      </c>
      <c r="I35">
        <v>34</v>
      </c>
      <c r="J35">
        <f t="shared" si="5"/>
        <v>0</v>
      </c>
      <c r="K35">
        <f t="shared" si="6"/>
        <v>0</v>
      </c>
      <c r="L35">
        <f t="shared" si="7"/>
        <v>0</v>
      </c>
      <c r="M35">
        <f t="shared" si="8"/>
        <v>0</v>
      </c>
      <c r="N35">
        <f t="shared" si="9"/>
        <v>0</v>
      </c>
      <c r="O35">
        <f t="shared" si="10"/>
        <v>0</v>
      </c>
      <c r="P35">
        <f t="shared" si="11"/>
        <v>0</v>
      </c>
      <c r="Q35">
        <f t="shared" si="12"/>
        <v>0</v>
      </c>
      <c r="R35">
        <f t="shared" si="13"/>
        <v>0</v>
      </c>
      <c r="S35">
        <f t="shared" si="14"/>
        <v>1</v>
      </c>
      <c r="T35">
        <f t="shared" si="15"/>
        <v>0</v>
      </c>
      <c r="Z35">
        <v>8</v>
      </c>
      <c r="AA35">
        <v>14.512642145098765</v>
      </c>
      <c r="AB35">
        <v>-2.0226421450987644</v>
      </c>
      <c r="AK35" s="3" t="s">
        <v>32</v>
      </c>
      <c r="AL35" s="3" t="s">
        <v>33</v>
      </c>
      <c r="AM35" s="3" t="s">
        <v>34</v>
      </c>
    </row>
    <row r="36" spans="1:39" x14ac:dyDescent="0.2">
      <c r="A36" s="7">
        <v>44866</v>
      </c>
      <c r="B36">
        <v>27.41</v>
      </c>
      <c r="C36">
        <f t="shared" si="0"/>
        <v>4</v>
      </c>
      <c r="D36">
        <v>35</v>
      </c>
      <c r="E36">
        <f t="shared" si="1"/>
        <v>0</v>
      </c>
      <c r="F36">
        <f t="shared" si="2"/>
        <v>0</v>
      </c>
      <c r="G36">
        <f t="shared" si="3"/>
        <v>0</v>
      </c>
      <c r="H36">
        <f t="shared" si="4"/>
        <v>11</v>
      </c>
      <c r="I36">
        <v>35</v>
      </c>
      <c r="J36">
        <f t="shared" si="5"/>
        <v>0</v>
      </c>
      <c r="K36">
        <f t="shared" si="6"/>
        <v>0</v>
      </c>
      <c r="L36">
        <f t="shared" si="7"/>
        <v>0</v>
      </c>
      <c r="M36">
        <f t="shared" si="8"/>
        <v>0</v>
      </c>
      <c r="N36">
        <f t="shared" si="9"/>
        <v>0</v>
      </c>
      <c r="O36">
        <f t="shared" si="10"/>
        <v>0</v>
      </c>
      <c r="P36">
        <f t="shared" si="11"/>
        <v>0</v>
      </c>
      <c r="Q36">
        <f t="shared" si="12"/>
        <v>0</v>
      </c>
      <c r="R36">
        <f t="shared" si="13"/>
        <v>0</v>
      </c>
      <c r="S36">
        <f t="shared" si="14"/>
        <v>0</v>
      </c>
      <c r="T36">
        <f t="shared" si="15"/>
        <v>1</v>
      </c>
      <c r="Z36">
        <v>9</v>
      </c>
      <c r="AA36">
        <v>15.014856470371056</v>
      </c>
      <c r="AB36">
        <v>1.7851435296289448</v>
      </c>
      <c r="AK36">
        <v>1</v>
      </c>
      <c r="AL36">
        <v>11.588800000000001</v>
      </c>
      <c r="AM36">
        <v>1.4511999999999983</v>
      </c>
    </row>
    <row r="37" spans="1:39" x14ac:dyDescent="0.2">
      <c r="A37" s="7">
        <v>44896</v>
      </c>
      <c r="B37">
        <v>27.43</v>
      </c>
      <c r="C37">
        <f t="shared" si="0"/>
        <v>4</v>
      </c>
      <c r="D37">
        <v>36</v>
      </c>
      <c r="E37">
        <f t="shared" si="1"/>
        <v>0</v>
      </c>
      <c r="F37">
        <f t="shared" si="2"/>
        <v>0</v>
      </c>
      <c r="G37">
        <f t="shared" si="3"/>
        <v>0</v>
      </c>
      <c r="H37">
        <f t="shared" si="4"/>
        <v>12</v>
      </c>
      <c r="I37">
        <v>36</v>
      </c>
      <c r="J37">
        <f t="shared" si="5"/>
        <v>0</v>
      </c>
      <c r="K37">
        <f t="shared" si="6"/>
        <v>0</v>
      </c>
      <c r="L37">
        <f t="shared" si="7"/>
        <v>0</v>
      </c>
      <c r="M37">
        <f t="shared" si="8"/>
        <v>0</v>
      </c>
      <c r="N37">
        <f t="shared" si="9"/>
        <v>0</v>
      </c>
      <c r="O37">
        <f t="shared" si="10"/>
        <v>0</v>
      </c>
      <c r="P37">
        <f t="shared" si="11"/>
        <v>0</v>
      </c>
      <c r="Q37">
        <f t="shared" si="12"/>
        <v>0</v>
      </c>
      <c r="R37">
        <f t="shared" si="13"/>
        <v>0</v>
      </c>
      <c r="S37">
        <f t="shared" si="14"/>
        <v>0</v>
      </c>
      <c r="T37">
        <f t="shared" si="15"/>
        <v>0</v>
      </c>
      <c r="Z37">
        <v>10</v>
      </c>
      <c r="AA37">
        <v>14.363761153159805</v>
      </c>
      <c r="AB37">
        <v>1.0562388468401949</v>
      </c>
      <c r="AK37">
        <v>2</v>
      </c>
      <c r="AL37">
        <v>11.720800000000002</v>
      </c>
      <c r="AM37">
        <v>0.17919999999999803</v>
      </c>
    </row>
    <row r="38" spans="1:39" x14ac:dyDescent="0.2">
      <c r="A38" s="7">
        <v>44927</v>
      </c>
      <c r="B38">
        <v>26.77</v>
      </c>
      <c r="C38">
        <f t="shared" si="0"/>
        <v>1</v>
      </c>
      <c r="D38">
        <v>37</v>
      </c>
      <c r="E38">
        <f t="shared" si="1"/>
        <v>1</v>
      </c>
      <c r="F38">
        <f t="shared" si="2"/>
        <v>0</v>
      </c>
      <c r="G38">
        <f t="shared" si="3"/>
        <v>0</v>
      </c>
      <c r="H38">
        <f t="shared" si="4"/>
        <v>1</v>
      </c>
      <c r="I38">
        <v>37</v>
      </c>
      <c r="J38">
        <f t="shared" si="5"/>
        <v>1</v>
      </c>
      <c r="K38">
        <f t="shared" si="6"/>
        <v>0</v>
      </c>
      <c r="L38">
        <f t="shared" si="7"/>
        <v>0</v>
      </c>
      <c r="M38">
        <f t="shared" si="8"/>
        <v>0</v>
      </c>
      <c r="N38">
        <f t="shared" si="9"/>
        <v>0</v>
      </c>
      <c r="O38">
        <f t="shared" si="10"/>
        <v>0</v>
      </c>
      <c r="P38">
        <f t="shared" si="11"/>
        <v>0</v>
      </c>
      <c r="Q38">
        <f t="shared" si="12"/>
        <v>0</v>
      </c>
      <c r="R38">
        <f t="shared" si="13"/>
        <v>0</v>
      </c>
      <c r="S38">
        <f t="shared" si="14"/>
        <v>0</v>
      </c>
      <c r="T38">
        <f t="shared" si="15"/>
        <v>0</v>
      </c>
      <c r="Z38">
        <v>11</v>
      </c>
      <c r="AA38">
        <v>14.865975478432096</v>
      </c>
      <c r="AB38">
        <v>2.714024521567902</v>
      </c>
      <c r="AK38">
        <v>3</v>
      </c>
      <c r="AL38">
        <v>10.238800000000001</v>
      </c>
      <c r="AM38">
        <v>-0.49880000000000102</v>
      </c>
    </row>
    <row r="39" spans="1:39" x14ac:dyDescent="0.2">
      <c r="A39" s="7">
        <v>44958</v>
      </c>
      <c r="B39">
        <v>28.34</v>
      </c>
      <c r="C39">
        <f t="shared" si="0"/>
        <v>1</v>
      </c>
      <c r="D39">
        <v>38</v>
      </c>
      <c r="E39">
        <f t="shared" si="1"/>
        <v>1</v>
      </c>
      <c r="F39">
        <f t="shared" si="2"/>
        <v>0</v>
      </c>
      <c r="G39">
        <f t="shared" si="3"/>
        <v>0</v>
      </c>
      <c r="H39">
        <f t="shared" si="4"/>
        <v>2</v>
      </c>
      <c r="I39">
        <v>38</v>
      </c>
      <c r="J39">
        <f t="shared" si="5"/>
        <v>0</v>
      </c>
      <c r="K39">
        <f t="shared" si="6"/>
        <v>1</v>
      </c>
      <c r="L39">
        <f t="shared" si="7"/>
        <v>0</v>
      </c>
      <c r="M39">
        <f t="shared" si="8"/>
        <v>0</v>
      </c>
      <c r="N39">
        <f t="shared" si="9"/>
        <v>0</v>
      </c>
      <c r="O39">
        <f t="shared" si="10"/>
        <v>0</v>
      </c>
      <c r="P39">
        <f t="shared" si="11"/>
        <v>0</v>
      </c>
      <c r="Q39">
        <f t="shared" si="12"/>
        <v>0</v>
      </c>
      <c r="R39">
        <f t="shared" si="13"/>
        <v>0</v>
      </c>
      <c r="S39">
        <f t="shared" si="14"/>
        <v>0</v>
      </c>
      <c r="T39">
        <f t="shared" si="15"/>
        <v>0</v>
      </c>
      <c r="Z39">
        <v>12</v>
      </c>
      <c r="AA39">
        <v>15.368189803704388</v>
      </c>
      <c r="AB39">
        <v>-2.1481898037043869</v>
      </c>
      <c r="AK39">
        <v>4</v>
      </c>
      <c r="AL39">
        <v>12.4406</v>
      </c>
      <c r="AM39">
        <v>1.1593999999999998</v>
      </c>
    </row>
    <row r="40" spans="1:39" x14ac:dyDescent="0.2">
      <c r="A40" s="7">
        <v>44986</v>
      </c>
      <c r="B40">
        <v>34.33</v>
      </c>
      <c r="C40">
        <f t="shared" si="0"/>
        <v>1</v>
      </c>
      <c r="D40">
        <v>39</v>
      </c>
      <c r="E40">
        <f t="shared" si="1"/>
        <v>1</v>
      </c>
      <c r="F40">
        <f t="shared" si="2"/>
        <v>0</v>
      </c>
      <c r="G40">
        <f t="shared" si="3"/>
        <v>0</v>
      </c>
      <c r="H40">
        <f t="shared" si="4"/>
        <v>3</v>
      </c>
      <c r="I40">
        <v>39</v>
      </c>
      <c r="J40">
        <f t="shared" si="5"/>
        <v>0</v>
      </c>
      <c r="K40">
        <f t="shared" si="6"/>
        <v>0</v>
      </c>
      <c r="L40">
        <f t="shared" si="7"/>
        <v>1</v>
      </c>
      <c r="M40">
        <f t="shared" si="8"/>
        <v>0</v>
      </c>
      <c r="N40">
        <f t="shared" si="9"/>
        <v>0</v>
      </c>
      <c r="O40">
        <f t="shared" si="10"/>
        <v>0</v>
      </c>
      <c r="P40">
        <f t="shared" si="11"/>
        <v>0</v>
      </c>
      <c r="Q40">
        <f t="shared" si="12"/>
        <v>0</v>
      </c>
      <c r="R40">
        <f t="shared" si="13"/>
        <v>0</v>
      </c>
      <c r="S40">
        <f t="shared" si="14"/>
        <v>0</v>
      </c>
      <c r="T40">
        <f t="shared" si="15"/>
        <v>0</v>
      </c>
      <c r="Z40">
        <v>13</v>
      </c>
      <c r="AA40">
        <v>16.733213771460218</v>
      </c>
      <c r="AB40">
        <v>-2.7732137714602167</v>
      </c>
      <c r="AK40">
        <v>5</v>
      </c>
      <c r="AL40">
        <v>14.440600000000002</v>
      </c>
      <c r="AM40">
        <v>1.9493999999999989</v>
      </c>
    </row>
    <row r="41" spans="1:39" x14ac:dyDescent="0.2">
      <c r="A41" s="7">
        <v>45017</v>
      </c>
      <c r="B41">
        <v>34.1</v>
      </c>
      <c r="C41">
        <f t="shared" si="0"/>
        <v>2</v>
      </c>
      <c r="D41">
        <v>40</v>
      </c>
      <c r="E41">
        <f t="shared" si="1"/>
        <v>0</v>
      </c>
      <c r="F41">
        <f t="shared" si="2"/>
        <v>1</v>
      </c>
      <c r="G41">
        <f t="shared" si="3"/>
        <v>0</v>
      </c>
      <c r="H41">
        <f t="shared" si="4"/>
        <v>4</v>
      </c>
      <c r="I41">
        <v>40</v>
      </c>
      <c r="J41">
        <f t="shared" si="5"/>
        <v>0</v>
      </c>
      <c r="K41">
        <f t="shared" si="6"/>
        <v>0</v>
      </c>
      <c r="L41">
        <f t="shared" si="7"/>
        <v>0</v>
      </c>
      <c r="M41">
        <f t="shared" si="8"/>
        <v>1</v>
      </c>
      <c r="N41">
        <f t="shared" si="9"/>
        <v>0</v>
      </c>
      <c r="O41">
        <f t="shared" si="10"/>
        <v>0</v>
      </c>
      <c r="P41">
        <f t="shared" si="11"/>
        <v>0</v>
      </c>
      <c r="Q41">
        <f t="shared" si="12"/>
        <v>0</v>
      </c>
      <c r="R41">
        <f t="shared" si="13"/>
        <v>0</v>
      </c>
      <c r="S41">
        <f t="shared" si="14"/>
        <v>0</v>
      </c>
      <c r="T41">
        <f t="shared" si="15"/>
        <v>0</v>
      </c>
      <c r="Z41">
        <v>14</v>
      </c>
      <c r="AA41">
        <v>17.235428096732509</v>
      </c>
      <c r="AB41">
        <v>-1.2554280967325084</v>
      </c>
      <c r="AK41">
        <v>6</v>
      </c>
      <c r="AL41">
        <v>12.455600000000002</v>
      </c>
      <c r="AM41">
        <v>-1.6756000000000029</v>
      </c>
    </row>
    <row r="42" spans="1:39" x14ac:dyDescent="0.2">
      <c r="A42" s="7">
        <v>45047</v>
      </c>
      <c r="B42">
        <v>31.75</v>
      </c>
      <c r="C42">
        <f t="shared" si="0"/>
        <v>2</v>
      </c>
      <c r="D42">
        <v>41</v>
      </c>
      <c r="E42">
        <f t="shared" si="1"/>
        <v>0</v>
      </c>
      <c r="F42">
        <f t="shared" si="2"/>
        <v>1</v>
      </c>
      <c r="G42">
        <f t="shared" si="3"/>
        <v>0</v>
      </c>
      <c r="H42">
        <f t="shared" si="4"/>
        <v>5</v>
      </c>
      <c r="I42">
        <v>41</v>
      </c>
      <c r="J42">
        <f t="shared" si="5"/>
        <v>0</v>
      </c>
      <c r="K42">
        <f t="shared" si="6"/>
        <v>0</v>
      </c>
      <c r="L42">
        <f t="shared" si="7"/>
        <v>0</v>
      </c>
      <c r="M42">
        <f t="shared" si="8"/>
        <v>0</v>
      </c>
      <c r="N42">
        <f t="shared" si="9"/>
        <v>1</v>
      </c>
      <c r="O42">
        <f t="shared" si="10"/>
        <v>0</v>
      </c>
      <c r="P42">
        <f t="shared" si="11"/>
        <v>0</v>
      </c>
      <c r="Q42">
        <f t="shared" si="12"/>
        <v>0</v>
      </c>
      <c r="R42">
        <f t="shared" si="13"/>
        <v>0</v>
      </c>
      <c r="S42">
        <f t="shared" si="14"/>
        <v>0</v>
      </c>
      <c r="T42">
        <f t="shared" si="15"/>
        <v>0</v>
      </c>
      <c r="Z42">
        <v>15</v>
      </c>
      <c r="AA42">
        <v>17.7376424220048</v>
      </c>
      <c r="AB42">
        <v>0.56235757799520059</v>
      </c>
      <c r="AK42">
        <v>7</v>
      </c>
      <c r="AL42">
        <v>13.7681</v>
      </c>
      <c r="AM42">
        <v>-0.12809999999999988</v>
      </c>
    </row>
    <row r="43" spans="1:39" x14ac:dyDescent="0.2">
      <c r="A43" s="7">
        <v>45078</v>
      </c>
      <c r="B43">
        <v>28.08</v>
      </c>
      <c r="C43">
        <f t="shared" si="0"/>
        <v>2</v>
      </c>
      <c r="D43">
        <v>42</v>
      </c>
      <c r="E43">
        <f t="shared" si="1"/>
        <v>0</v>
      </c>
      <c r="F43">
        <f t="shared" si="2"/>
        <v>1</v>
      </c>
      <c r="G43">
        <f t="shared" si="3"/>
        <v>0</v>
      </c>
      <c r="H43">
        <f t="shared" si="4"/>
        <v>6</v>
      </c>
      <c r="I43">
        <v>42</v>
      </c>
      <c r="J43">
        <f t="shared" si="5"/>
        <v>0</v>
      </c>
      <c r="K43">
        <f t="shared" si="6"/>
        <v>0</v>
      </c>
      <c r="L43">
        <f t="shared" si="7"/>
        <v>0</v>
      </c>
      <c r="M43">
        <f t="shared" si="8"/>
        <v>0</v>
      </c>
      <c r="N43">
        <f t="shared" si="9"/>
        <v>0</v>
      </c>
      <c r="O43">
        <f t="shared" si="10"/>
        <v>1</v>
      </c>
      <c r="P43">
        <f t="shared" si="11"/>
        <v>0</v>
      </c>
      <c r="Q43">
        <f t="shared" si="12"/>
        <v>0</v>
      </c>
      <c r="R43">
        <f t="shared" si="13"/>
        <v>0</v>
      </c>
      <c r="S43">
        <f t="shared" si="14"/>
        <v>0</v>
      </c>
      <c r="T43">
        <f t="shared" si="15"/>
        <v>0</v>
      </c>
      <c r="Z43">
        <v>16</v>
      </c>
      <c r="AA43">
        <v>18.656166389760632</v>
      </c>
      <c r="AB43">
        <v>-3.5361663897606324</v>
      </c>
      <c r="AK43">
        <v>8</v>
      </c>
      <c r="AL43">
        <v>13.4756</v>
      </c>
      <c r="AM43">
        <v>-0.98559999999999981</v>
      </c>
    </row>
    <row r="44" spans="1:39" x14ac:dyDescent="0.2">
      <c r="A44" s="7">
        <v>45108</v>
      </c>
      <c r="B44">
        <v>27.98</v>
      </c>
      <c r="C44">
        <f t="shared" si="0"/>
        <v>3</v>
      </c>
      <c r="D44">
        <v>43</v>
      </c>
      <c r="E44">
        <f t="shared" si="1"/>
        <v>0</v>
      </c>
      <c r="F44">
        <f t="shared" si="2"/>
        <v>0</v>
      </c>
      <c r="G44">
        <f t="shared" si="3"/>
        <v>1</v>
      </c>
      <c r="H44">
        <f t="shared" si="4"/>
        <v>7</v>
      </c>
      <c r="I44">
        <v>43</v>
      </c>
      <c r="J44">
        <f t="shared" si="5"/>
        <v>0</v>
      </c>
      <c r="K44">
        <f t="shared" si="6"/>
        <v>0</v>
      </c>
      <c r="L44">
        <f t="shared" si="7"/>
        <v>0</v>
      </c>
      <c r="M44">
        <f t="shared" si="8"/>
        <v>0</v>
      </c>
      <c r="N44">
        <f t="shared" si="9"/>
        <v>0</v>
      </c>
      <c r="O44">
        <f t="shared" si="10"/>
        <v>0</v>
      </c>
      <c r="P44">
        <f t="shared" si="11"/>
        <v>1</v>
      </c>
      <c r="Q44">
        <f t="shared" si="12"/>
        <v>0</v>
      </c>
      <c r="R44">
        <f t="shared" si="13"/>
        <v>0</v>
      </c>
      <c r="S44">
        <f t="shared" si="14"/>
        <v>0</v>
      </c>
      <c r="T44">
        <f t="shared" si="15"/>
        <v>0</v>
      </c>
      <c r="Z44">
        <v>17</v>
      </c>
      <c r="AA44">
        <v>19.158380715032923</v>
      </c>
      <c r="AB44">
        <v>0.31161928496707603</v>
      </c>
      <c r="AK44">
        <v>9</v>
      </c>
      <c r="AL44">
        <v>16.235600000000002</v>
      </c>
      <c r="AM44">
        <v>0.56439999999999912</v>
      </c>
    </row>
    <row r="45" spans="1:39" x14ac:dyDescent="0.2">
      <c r="A45" s="7">
        <v>45139</v>
      </c>
      <c r="B45">
        <v>33.61</v>
      </c>
      <c r="C45">
        <f t="shared" si="0"/>
        <v>3</v>
      </c>
      <c r="D45">
        <v>44</v>
      </c>
      <c r="E45">
        <f t="shared" si="1"/>
        <v>0</v>
      </c>
      <c r="F45">
        <f t="shared" si="2"/>
        <v>0</v>
      </c>
      <c r="G45">
        <f t="shared" si="3"/>
        <v>1</v>
      </c>
      <c r="H45">
        <f t="shared" si="4"/>
        <v>8</v>
      </c>
      <c r="I45">
        <v>44</v>
      </c>
      <c r="J45">
        <f t="shared" si="5"/>
        <v>0</v>
      </c>
      <c r="K45">
        <f t="shared" si="6"/>
        <v>0</v>
      </c>
      <c r="L45">
        <f t="shared" si="7"/>
        <v>0</v>
      </c>
      <c r="M45">
        <f t="shared" si="8"/>
        <v>0</v>
      </c>
      <c r="N45">
        <f t="shared" si="9"/>
        <v>0</v>
      </c>
      <c r="O45">
        <f t="shared" si="10"/>
        <v>0</v>
      </c>
      <c r="P45">
        <f t="shared" si="11"/>
        <v>0</v>
      </c>
      <c r="Q45">
        <f t="shared" si="12"/>
        <v>1</v>
      </c>
      <c r="R45">
        <f t="shared" si="13"/>
        <v>0</v>
      </c>
      <c r="S45">
        <f t="shared" si="14"/>
        <v>0</v>
      </c>
      <c r="T45">
        <f t="shared" si="15"/>
        <v>0</v>
      </c>
      <c r="Z45">
        <v>18</v>
      </c>
      <c r="AA45">
        <v>19.660595040305214</v>
      </c>
      <c r="AB45">
        <v>-2.000595040305214</v>
      </c>
      <c r="AK45">
        <v>10</v>
      </c>
      <c r="AL45">
        <v>14.790600000000001</v>
      </c>
      <c r="AM45">
        <v>0.62939999999999863</v>
      </c>
    </row>
    <row r="46" spans="1:39" x14ac:dyDescent="0.2">
      <c r="A46" s="7">
        <v>45170</v>
      </c>
      <c r="B46">
        <v>37</v>
      </c>
      <c r="C46">
        <f t="shared" si="0"/>
        <v>3</v>
      </c>
      <c r="D46">
        <v>45</v>
      </c>
      <c r="E46">
        <f t="shared" si="1"/>
        <v>0</v>
      </c>
      <c r="F46">
        <f t="shared" si="2"/>
        <v>0</v>
      </c>
      <c r="G46">
        <f t="shared" si="3"/>
        <v>1</v>
      </c>
      <c r="H46">
        <f t="shared" si="4"/>
        <v>9</v>
      </c>
      <c r="I46">
        <v>45</v>
      </c>
      <c r="J46">
        <f t="shared" si="5"/>
        <v>0</v>
      </c>
      <c r="K46">
        <f t="shared" si="6"/>
        <v>0</v>
      </c>
      <c r="L46">
        <f t="shared" si="7"/>
        <v>0</v>
      </c>
      <c r="M46">
        <f t="shared" si="8"/>
        <v>0</v>
      </c>
      <c r="N46">
        <f t="shared" si="9"/>
        <v>0</v>
      </c>
      <c r="O46">
        <f t="shared" si="10"/>
        <v>0</v>
      </c>
      <c r="P46">
        <f t="shared" si="11"/>
        <v>0</v>
      </c>
      <c r="Q46">
        <f t="shared" si="12"/>
        <v>0</v>
      </c>
      <c r="R46">
        <f t="shared" si="13"/>
        <v>1</v>
      </c>
      <c r="S46">
        <f t="shared" si="14"/>
        <v>0</v>
      </c>
      <c r="T46">
        <f t="shared" si="15"/>
        <v>0</v>
      </c>
      <c r="Z46">
        <v>19</v>
      </c>
      <c r="AA46">
        <v>20.036999723093963</v>
      </c>
      <c r="AB46">
        <v>3.0630002769060383</v>
      </c>
      <c r="AK46">
        <v>11</v>
      </c>
      <c r="AL46">
        <v>14.4156</v>
      </c>
      <c r="AM46">
        <v>3.1643999999999988</v>
      </c>
    </row>
    <row r="47" spans="1:39" x14ac:dyDescent="0.2">
      <c r="A47" s="7">
        <v>45200</v>
      </c>
      <c r="B47">
        <v>30.13</v>
      </c>
      <c r="C47">
        <f t="shared" si="0"/>
        <v>4</v>
      </c>
      <c r="D47">
        <v>46</v>
      </c>
      <c r="E47">
        <f t="shared" si="1"/>
        <v>0</v>
      </c>
      <c r="F47">
        <f t="shared" si="2"/>
        <v>0</v>
      </c>
      <c r="G47">
        <f t="shared" si="3"/>
        <v>0</v>
      </c>
      <c r="H47">
        <f t="shared" si="4"/>
        <v>10</v>
      </c>
      <c r="I47">
        <v>46</v>
      </c>
      <c r="J47">
        <f t="shared" si="5"/>
        <v>0</v>
      </c>
      <c r="K47">
        <f t="shared" si="6"/>
        <v>0</v>
      </c>
      <c r="L47">
        <f t="shared" si="7"/>
        <v>0</v>
      </c>
      <c r="M47">
        <f t="shared" si="8"/>
        <v>0</v>
      </c>
      <c r="N47">
        <f t="shared" si="9"/>
        <v>0</v>
      </c>
      <c r="O47">
        <f t="shared" si="10"/>
        <v>0</v>
      </c>
      <c r="P47">
        <f t="shared" si="11"/>
        <v>0</v>
      </c>
      <c r="Q47">
        <f t="shared" si="12"/>
        <v>0</v>
      </c>
      <c r="R47">
        <f t="shared" si="13"/>
        <v>0</v>
      </c>
      <c r="S47">
        <f t="shared" si="14"/>
        <v>1</v>
      </c>
      <c r="T47">
        <f t="shared" si="15"/>
        <v>0</v>
      </c>
      <c r="Z47">
        <v>20</v>
      </c>
      <c r="AA47">
        <v>20.539214048366254</v>
      </c>
      <c r="AB47">
        <v>2.450785951633744</v>
      </c>
      <c r="AK47">
        <v>12</v>
      </c>
      <c r="AL47">
        <v>15.3331</v>
      </c>
      <c r="AM47">
        <v>-2.1130999999999993</v>
      </c>
    </row>
    <row r="48" spans="1:39" x14ac:dyDescent="0.2">
      <c r="A48" s="7">
        <v>45231</v>
      </c>
      <c r="B48">
        <v>30.01</v>
      </c>
      <c r="C48">
        <f t="shared" si="0"/>
        <v>4</v>
      </c>
      <c r="D48">
        <v>47</v>
      </c>
      <c r="E48">
        <f t="shared" si="1"/>
        <v>0</v>
      </c>
      <c r="F48">
        <f t="shared" si="2"/>
        <v>0</v>
      </c>
      <c r="G48">
        <f t="shared" si="3"/>
        <v>0</v>
      </c>
      <c r="H48">
        <f t="shared" si="4"/>
        <v>11</v>
      </c>
      <c r="I48">
        <v>47</v>
      </c>
      <c r="J48">
        <f t="shared" si="5"/>
        <v>0</v>
      </c>
      <c r="K48">
        <f t="shared" si="6"/>
        <v>0</v>
      </c>
      <c r="L48">
        <f t="shared" si="7"/>
        <v>0</v>
      </c>
      <c r="M48">
        <f t="shared" si="8"/>
        <v>0</v>
      </c>
      <c r="N48">
        <f t="shared" si="9"/>
        <v>0</v>
      </c>
      <c r="O48">
        <f t="shared" si="10"/>
        <v>0</v>
      </c>
      <c r="P48">
        <f t="shared" si="11"/>
        <v>0</v>
      </c>
      <c r="Q48">
        <f t="shared" si="12"/>
        <v>0</v>
      </c>
      <c r="R48">
        <f t="shared" si="13"/>
        <v>0</v>
      </c>
      <c r="S48">
        <f t="shared" si="14"/>
        <v>0</v>
      </c>
      <c r="T48">
        <f t="shared" si="15"/>
        <v>1</v>
      </c>
      <c r="Z48">
        <v>21</v>
      </c>
      <c r="AA48">
        <v>21.041428373638546</v>
      </c>
      <c r="AB48">
        <v>-0.32142837363854682</v>
      </c>
      <c r="AK48">
        <v>13</v>
      </c>
      <c r="AL48">
        <v>17.628400000000003</v>
      </c>
      <c r="AM48">
        <v>-3.6684000000000019</v>
      </c>
    </row>
    <row r="49" spans="1:39" x14ac:dyDescent="0.2">
      <c r="A49" s="7">
        <v>45261</v>
      </c>
      <c r="B49">
        <v>33.06</v>
      </c>
      <c r="C49">
        <f t="shared" si="0"/>
        <v>4</v>
      </c>
      <c r="D49">
        <v>48</v>
      </c>
      <c r="E49">
        <f t="shared" si="1"/>
        <v>0</v>
      </c>
      <c r="F49">
        <f t="shared" si="2"/>
        <v>0</v>
      </c>
      <c r="G49">
        <f t="shared" si="3"/>
        <v>0</v>
      </c>
      <c r="H49">
        <f t="shared" si="4"/>
        <v>12</v>
      </c>
      <c r="I49">
        <v>48</v>
      </c>
      <c r="J49">
        <f t="shared" si="5"/>
        <v>0</v>
      </c>
      <c r="K49">
        <f t="shared" si="6"/>
        <v>0</v>
      </c>
      <c r="L49">
        <f t="shared" si="7"/>
        <v>0</v>
      </c>
      <c r="M49">
        <f t="shared" si="8"/>
        <v>0</v>
      </c>
      <c r="N49">
        <f t="shared" si="9"/>
        <v>0</v>
      </c>
      <c r="O49">
        <f t="shared" si="10"/>
        <v>0</v>
      </c>
      <c r="P49">
        <f t="shared" si="11"/>
        <v>0</v>
      </c>
      <c r="Q49">
        <f t="shared" si="12"/>
        <v>0</v>
      </c>
      <c r="R49">
        <f t="shared" si="13"/>
        <v>0</v>
      </c>
      <c r="S49">
        <f t="shared" si="14"/>
        <v>0</v>
      </c>
      <c r="T49">
        <f t="shared" si="15"/>
        <v>0</v>
      </c>
      <c r="Z49">
        <v>22</v>
      </c>
      <c r="AA49">
        <v>20.390333056427295</v>
      </c>
      <c r="AB49">
        <v>0.17966694357270541</v>
      </c>
      <c r="AK49">
        <v>14</v>
      </c>
      <c r="AL49">
        <v>17.760400000000004</v>
      </c>
      <c r="AM49">
        <v>-1.7804000000000038</v>
      </c>
    </row>
    <row r="50" spans="1:39" x14ac:dyDescent="0.2">
      <c r="A50" s="7">
        <v>45292</v>
      </c>
      <c r="B50">
        <v>38.96</v>
      </c>
      <c r="C50">
        <f t="shared" si="0"/>
        <v>1</v>
      </c>
      <c r="D50">
        <v>49</v>
      </c>
      <c r="E50">
        <f t="shared" si="1"/>
        <v>1</v>
      </c>
      <c r="F50">
        <f t="shared" si="2"/>
        <v>0</v>
      </c>
      <c r="G50">
        <f t="shared" si="3"/>
        <v>0</v>
      </c>
      <c r="H50">
        <f t="shared" si="4"/>
        <v>1</v>
      </c>
      <c r="I50">
        <v>49</v>
      </c>
      <c r="J50">
        <f t="shared" si="5"/>
        <v>1</v>
      </c>
      <c r="K50">
        <f t="shared" si="6"/>
        <v>0</v>
      </c>
      <c r="L50">
        <f t="shared" si="7"/>
        <v>0</v>
      </c>
      <c r="M50">
        <f t="shared" si="8"/>
        <v>0</v>
      </c>
      <c r="N50">
        <f t="shared" si="9"/>
        <v>0</v>
      </c>
      <c r="O50">
        <f t="shared" si="10"/>
        <v>0</v>
      </c>
      <c r="P50">
        <f t="shared" si="11"/>
        <v>0</v>
      </c>
      <c r="Q50">
        <f t="shared" si="12"/>
        <v>0</v>
      </c>
      <c r="R50">
        <f t="shared" si="13"/>
        <v>0</v>
      </c>
      <c r="S50">
        <f t="shared" si="14"/>
        <v>0</v>
      </c>
      <c r="T50">
        <f t="shared" si="15"/>
        <v>0</v>
      </c>
      <c r="Z50">
        <v>23</v>
      </c>
      <c r="AA50">
        <v>20.892547381699586</v>
      </c>
      <c r="AB50">
        <v>-1.9925473816995876</v>
      </c>
      <c r="AK50">
        <v>15</v>
      </c>
      <c r="AL50">
        <v>16.278400000000001</v>
      </c>
      <c r="AM50">
        <v>2.0215999999999994</v>
      </c>
    </row>
    <row r="51" spans="1:39" x14ac:dyDescent="0.2">
      <c r="A51" s="7">
        <v>45323</v>
      </c>
      <c r="B51">
        <v>39.94</v>
      </c>
      <c r="C51">
        <f t="shared" si="0"/>
        <v>1</v>
      </c>
      <c r="D51">
        <v>50</v>
      </c>
      <c r="E51">
        <f t="shared" si="1"/>
        <v>1</v>
      </c>
      <c r="F51">
        <f t="shared" si="2"/>
        <v>0</v>
      </c>
      <c r="G51">
        <f t="shared" si="3"/>
        <v>0</v>
      </c>
      <c r="H51">
        <f t="shared" si="4"/>
        <v>2</v>
      </c>
      <c r="I51">
        <v>50</v>
      </c>
      <c r="J51">
        <f t="shared" si="5"/>
        <v>0</v>
      </c>
      <c r="K51">
        <f t="shared" si="6"/>
        <v>1</v>
      </c>
      <c r="L51">
        <f t="shared" si="7"/>
        <v>0</v>
      </c>
      <c r="M51">
        <f t="shared" si="8"/>
        <v>0</v>
      </c>
      <c r="N51">
        <f t="shared" si="9"/>
        <v>0</v>
      </c>
      <c r="O51">
        <f t="shared" si="10"/>
        <v>0</v>
      </c>
      <c r="P51">
        <f t="shared" si="11"/>
        <v>0</v>
      </c>
      <c r="Q51">
        <f t="shared" si="12"/>
        <v>0</v>
      </c>
      <c r="R51">
        <f t="shared" si="13"/>
        <v>0</v>
      </c>
      <c r="S51">
        <f t="shared" si="14"/>
        <v>0</v>
      </c>
      <c r="T51">
        <f t="shared" si="15"/>
        <v>0</v>
      </c>
      <c r="Z51">
        <v>24</v>
      </c>
      <c r="AA51">
        <v>21.394761706971877</v>
      </c>
      <c r="AB51">
        <v>2.465238293028122</v>
      </c>
      <c r="AK51">
        <v>16</v>
      </c>
      <c r="AL51">
        <v>18.4802</v>
      </c>
      <c r="AM51">
        <v>-3.3602000000000007</v>
      </c>
    </row>
    <row r="52" spans="1:39" x14ac:dyDescent="0.2">
      <c r="A52" s="7">
        <v>45352</v>
      </c>
      <c r="B52">
        <v>31.03</v>
      </c>
      <c r="C52">
        <f t="shared" si="0"/>
        <v>1</v>
      </c>
      <c r="D52">
        <v>51</v>
      </c>
      <c r="E52">
        <f t="shared" si="1"/>
        <v>1</v>
      </c>
      <c r="F52">
        <f t="shared" si="2"/>
        <v>0</v>
      </c>
      <c r="G52">
        <f t="shared" si="3"/>
        <v>0</v>
      </c>
      <c r="H52">
        <f t="shared" si="4"/>
        <v>3</v>
      </c>
      <c r="I52">
        <v>51</v>
      </c>
      <c r="J52">
        <f t="shared" si="5"/>
        <v>0</v>
      </c>
      <c r="K52">
        <f t="shared" si="6"/>
        <v>0</v>
      </c>
      <c r="L52">
        <f t="shared" si="7"/>
        <v>1</v>
      </c>
      <c r="M52">
        <f t="shared" si="8"/>
        <v>0</v>
      </c>
      <c r="N52">
        <f t="shared" si="9"/>
        <v>0</v>
      </c>
      <c r="O52">
        <f t="shared" si="10"/>
        <v>0</v>
      </c>
      <c r="P52">
        <f t="shared" si="11"/>
        <v>0</v>
      </c>
      <c r="Q52">
        <f t="shared" si="12"/>
        <v>0</v>
      </c>
      <c r="R52">
        <f t="shared" si="13"/>
        <v>0</v>
      </c>
      <c r="S52">
        <f t="shared" si="14"/>
        <v>0</v>
      </c>
      <c r="T52">
        <f t="shared" si="15"/>
        <v>0</v>
      </c>
      <c r="Z52">
        <v>25</v>
      </c>
      <c r="AA52">
        <v>22.759785674727709</v>
      </c>
      <c r="AB52">
        <v>2.8502143252722902</v>
      </c>
      <c r="AK52">
        <v>17</v>
      </c>
      <c r="AL52">
        <v>20.480200000000004</v>
      </c>
      <c r="AM52">
        <v>-1.0102000000000046</v>
      </c>
    </row>
    <row r="53" spans="1:39" x14ac:dyDescent="0.2">
      <c r="A53" s="9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Z53">
        <v>26</v>
      </c>
      <c r="AA53">
        <v>23.262</v>
      </c>
      <c r="AB53">
        <v>-0.4220000000000006</v>
      </c>
      <c r="AK53">
        <v>18</v>
      </c>
      <c r="AL53">
        <v>18.495200000000001</v>
      </c>
      <c r="AM53">
        <v>-0.83520000000000039</v>
      </c>
    </row>
    <row r="54" spans="1:39" x14ac:dyDescent="0.2">
      <c r="A54" s="9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Z54">
        <v>27</v>
      </c>
      <c r="AA54">
        <v>23.764214325272292</v>
      </c>
      <c r="AB54">
        <v>-5.5742143252722904</v>
      </c>
      <c r="AK54">
        <v>19</v>
      </c>
      <c r="AL54">
        <v>19.807700000000001</v>
      </c>
      <c r="AM54">
        <v>3.2923000000000009</v>
      </c>
    </row>
    <row r="55" spans="1:39" x14ac:dyDescent="0.2">
      <c r="A55" s="9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Z55">
        <v>28</v>
      </c>
      <c r="AA55">
        <v>24.682738293028123</v>
      </c>
      <c r="AB55">
        <v>-1.5027382930281235</v>
      </c>
      <c r="AK55">
        <v>20</v>
      </c>
      <c r="AL55">
        <v>19.515199999999997</v>
      </c>
      <c r="AM55">
        <v>3.4748000000000019</v>
      </c>
    </row>
    <row r="56" spans="1:39" x14ac:dyDescent="0.2">
      <c r="A56" s="12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Z56">
        <v>29</v>
      </c>
      <c r="AA56">
        <v>25.184952618300414</v>
      </c>
      <c r="AB56">
        <v>1.2050473816995861</v>
      </c>
      <c r="AK56">
        <v>21</v>
      </c>
      <c r="AL56">
        <v>22.275200000000002</v>
      </c>
      <c r="AM56">
        <v>-1.5552000000000028</v>
      </c>
    </row>
    <row r="57" spans="1:39" x14ac:dyDescent="0.2">
      <c r="A57" s="1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Z57">
        <v>30</v>
      </c>
      <c r="AA57">
        <v>25.687166943572706</v>
      </c>
      <c r="AB57">
        <v>3.8528330564272935</v>
      </c>
      <c r="AK57">
        <v>22</v>
      </c>
      <c r="AL57">
        <v>20.830200000000001</v>
      </c>
      <c r="AM57">
        <v>-0.2602000000000011</v>
      </c>
    </row>
    <row r="58" spans="1:39" x14ac:dyDescent="0.2">
      <c r="A58" s="12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Z58">
        <v>31</v>
      </c>
      <c r="AA58">
        <v>26.063571626361458</v>
      </c>
      <c r="AB58">
        <v>0.52642837363854156</v>
      </c>
      <c r="AK58">
        <v>23</v>
      </c>
      <c r="AL58">
        <v>20.455200000000001</v>
      </c>
      <c r="AM58">
        <v>-1.5552000000000028</v>
      </c>
    </row>
    <row r="59" spans="1:39" x14ac:dyDescent="0.2">
      <c r="A59" s="12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Z59">
        <v>32</v>
      </c>
      <c r="AA59">
        <v>26.56578595163375</v>
      </c>
      <c r="AB59">
        <v>-5.5157859516337489</v>
      </c>
      <c r="AK59">
        <v>24</v>
      </c>
      <c r="AL59">
        <v>21.372700000000002</v>
      </c>
      <c r="AM59">
        <v>2.4872999999999976</v>
      </c>
    </row>
    <row r="60" spans="1:39" x14ac:dyDescent="0.2">
      <c r="A60" s="12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Z60">
        <v>33</v>
      </c>
      <c r="AA60">
        <v>27.068000276906041</v>
      </c>
      <c r="AB60">
        <v>-0.40800027690604068</v>
      </c>
      <c r="AK60">
        <v>25</v>
      </c>
      <c r="AL60">
        <v>23.667999999999999</v>
      </c>
      <c r="AM60">
        <v>1.9420000000000002</v>
      </c>
    </row>
    <row r="61" spans="1:39" x14ac:dyDescent="0.2">
      <c r="A61" s="1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Z61">
        <v>34</v>
      </c>
      <c r="AA61">
        <v>26.41690495969479</v>
      </c>
      <c r="AB61">
        <v>2.8630950403052111</v>
      </c>
      <c r="AK61">
        <v>26</v>
      </c>
      <c r="AL61">
        <v>23.800000000000004</v>
      </c>
      <c r="AM61">
        <v>-0.96000000000000441</v>
      </c>
    </row>
    <row r="62" spans="1:39" x14ac:dyDescent="0.2">
      <c r="A62" s="12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Z62">
        <v>35</v>
      </c>
      <c r="AA62">
        <v>26.919119284967081</v>
      </c>
      <c r="AB62">
        <v>0.49088071503291886</v>
      </c>
      <c r="AK62">
        <v>27</v>
      </c>
      <c r="AL62">
        <v>22.317999999999998</v>
      </c>
      <c r="AM62">
        <v>-4.1279999999999966</v>
      </c>
    </row>
    <row r="63" spans="1:39" x14ac:dyDescent="0.2">
      <c r="A63" s="12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Z63">
        <v>36</v>
      </c>
      <c r="AA63">
        <v>27.421333610239373</v>
      </c>
      <c r="AB63">
        <v>8.6663897606271689E-3</v>
      </c>
      <c r="AK63">
        <v>28</v>
      </c>
      <c r="AL63">
        <v>24.5198</v>
      </c>
      <c r="AM63">
        <v>-1.3398000000000003</v>
      </c>
    </row>
    <row r="64" spans="1:39" x14ac:dyDescent="0.2">
      <c r="A64" s="12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Z64">
        <v>37</v>
      </c>
      <c r="AA64">
        <v>28.786357577995204</v>
      </c>
      <c r="AB64">
        <v>-2.0163575779952048</v>
      </c>
      <c r="AK64">
        <v>29</v>
      </c>
      <c r="AL64">
        <v>26.519800000000004</v>
      </c>
      <c r="AM64">
        <v>-0.12980000000000302</v>
      </c>
    </row>
    <row r="65" spans="1:39" x14ac:dyDescent="0.2">
      <c r="A65" s="12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Z65">
        <v>38</v>
      </c>
      <c r="AA65">
        <v>29.288571903267488</v>
      </c>
      <c r="AB65">
        <v>-0.94857190326748864</v>
      </c>
      <c r="AK65">
        <v>30</v>
      </c>
      <c r="AL65">
        <v>24.534800000000001</v>
      </c>
      <c r="AM65">
        <v>5.0051999999999985</v>
      </c>
    </row>
    <row r="66" spans="1:39" x14ac:dyDescent="0.2">
      <c r="A66" s="12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Z66">
        <v>39</v>
      </c>
      <c r="AA66">
        <v>29.79078622853978</v>
      </c>
      <c r="AB66">
        <v>4.5392137714602185</v>
      </c>
      <c r="AK66">
        <v>31</v>
      </c>
      <c r="AL66">
        <v>25.847300000000001</v>
      </c>
      <c r="AM66">
        <v>0.74269999999999925</v>
      </c>
    </row>
    <row r="67" spans="1:39" x14ac:dyDescent="0.2">
      <c r="A67" s="12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Z67">
        <v>40</v>
      </c>
      <c r="AA67">
        <v>30.709310196295611</v>
      </c>
      <c r="AB67">
        <v>3.3906898037043902</v>
      </c>
      <c r="AK67">
        <v>32</v>
      </c>
      <c r="AL67">
        <v>25.554799999999997</v>
      </c>
      <c r="AM67">
        <v>-4.5047999999999959</v>
      </c>
    </row>
    <row r="68" spans="1:39" x14ac:dyDescent="0.2">
      <c r="A68" s="12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Z68">
        <v>41</v>
      </c>
      <c r="AA68">
        <v>31.211524521567902</v>
      </c>
      <c r="AB68">
        <v>0.53847547843209753</v>
      </c>
      <c r="AK68">
        <v>33</v>
      </c>
      <c r="AL68">
        <v>28.314800000000002</v>
      </c>
      <c r="AM68">
        <v>-1.6548000000000016</v>
      </c>
    </row>
    <row r="69" spans="1:39" x14ac:dyDescent="0.2">
      <c r="A69" s="12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Z69">
        <v>42</v>
      </c>
      <c r="AA69">
        <v>31.713738846840194</v>
      </c>
      <c r="AB69">
        <v>-3.6337388468401954</v>
      </c>
      <c r="AK69">
        <v>34</v>
      </c>
      <c r="AL69">
        <v>26.869799999999998</v>
      </c>
      <c r="AM69">
        <v>2.4102000000000032</v>
      </c>
    </row>
    <row r="70" spans="1:39" x14ac:dyDescent="0.2">
      <c r="A70" s="12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Z70">
        <v>43</v>
      </c>
      <c r="AA70">
        <v>32.090143529628946</v>
      </c>
      <c r="AB70">
        <v>-4.1101435296289459</v>
      </c>
      <c r="AK70">
        <v>35</v>
      </c>
      <c r="AL70">
        <v>26.494800000000001</v>
      </c>
      <c r="AM70">
        <v>0.91519999999999868</v>
      </c>
    </row>
    <row r="71" spans="1:39" x14ac:dyDescent="0.2">
      <c r="A71" s="12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Z71">
        <v>44</v>
      </c>
      <c r="AA71">
        <v>32.592357854901238</v>
      </c>
      <c r="AB71">
        <v>1.0176421450987618</v>
      </c>
      <c r="AK71">
        <v>36</v>
      </c>
      <c r="AL71">
        <v>27.412300000000002</v>
      </c>
      <c r="AM71">
        <v>1.7699999999997829E-2</v>
      </c>
    </row>
    <row r="72" spans="1:39" x14ac:dyDescent="0.2">
      <c r="A72" s="12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Z72">
        <v>45</v>
      </c>
      <c r="AA72">
        <v>33.094572180173529</v>
      </c>
      <c r="AB72">
        <v>3.9054278198264711</v>
      </c>
      <c r="AK72">
        <v>37</v>
      </c>
      <c r="AL72">
        <v>29.707599999999999</v>
      </c>
      <c r="AM72">
        <v>-2.9375999999999998</v>
      </c>
    </row>
    <row r="73" spans="1:39" x14ac:dyDescent="0.2">
      <c r="A73" s="12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Z73">
        <v>46</v>
      </c>
      <c r="AA73">
        <v>32.443476862962278</v>
      </c>
      <c r="AB73">
        <v>-2.3134768629622791</v>
      </c>
      <c r="AK73">
        <v>38</v>
      </c>
      <c r="AL73">
        <v>29.839600000000004</v>
      </c>
      <c r="AM73">
        <v>-1.4996000000000045</v>
      </c>
    </row>
    <row r="74" spans="1:39" x14ac:dyDescent="0.2">
      <c r="A74" s="12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Z74">
        <v>47</v>
      </c>
      <c r="AA74">
        <v>32.945691188234569</v>
      </c>
      <c r="AB74">
        <v>-2.9356911882345678</v>
      </c>
      <c r="AK74">
        <v>39</v>
      </c>
      <c r="AL74">
        <v>28.357599999999998</v>
      </c>
      <c r="AM74">
        <v>5.9724000000000004</v>
      </c>
    </row>
    <row r="75" spans="1:39" x14ac:dyDescent="0.2">
      <c r="A75" s="12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Z75">
        <v>48</v>
      </c>
      <c r="AA75">
        <v>33.447905513506861</v>
      </c>
      <c r="AB75">
        <v>-0.38790551350685831</v>
      </c>
      <c r="AK75">
        <v>40</v>
      </c>
      <c r="AL75">
        <v>30.5594</v>
      </c>
      <c r="AM75">
        <v>3.5406000000000013</v>
      </c>
    </row>
    <row r="76" spans="1:39" x14ac:dyDescent="0.2">
      <c r="A76" s="12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Z76">
        <v>49</v>
      </c>
      <c r="AA76">
        <v>34.812929481262692</v>
      </c>
      <c r="AB76">
        <v>4.1470705187373085</v>
      </c>
      <c r="AK76">
        <v>41</v>
      </c>
      <c r="AL76">
        <v>32.559399999999997</v>
      </c>
      <c r="AM76">
        <v>-0.80939999999999657</v>
      </c>
    </row>
    <row r="77" spans="1:39" x14ac:dyDescent="0.2">
      <c r="A77" s="12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Z77">
        <v>50</v>
      </c>
      <c r="AA77">
        <v>35.315143806534984</v>
      </c>
      <c r="AB77">
        <v>4.6248561934650141</v>
      </c>
      <c r="AK77">
        <v>42</v>
      </c>
      <c r="AL77">
        <v>30.574400000000001</v>
      </c>
      <c r="AM77">
        <v>-2.4944000000000024</v>
      </c>
    </row>
    <row r="78" spans="1:39" ht="16" thickBot="1" x14ac:dyDescent="0.25">
      <c r="A78" s="12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Z78" s="2">
        <v>51</v>
      </c>
      <c r="AA78" s="2">
        <v>35.817358131807275</v>
      </c>
      <c r="AB78" s="2">
        <v>-4.7873581318072738</v>
      </c>
      <c r="AK78">
        <v>43</v>
      </c>
      <c r="AL78">
        <v>31.886900000000001</v>
      </c>
      <c r="AM78">
        <v>-3.9069000000000003</v>
      </c>
    </row>
    <row r="79" spans="1:39" x14ac:dyDescent="0.2">
      <c r="A79" s="12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AK79">
        <v>44</v>
      </c>
      <c r="AL79">
        <v>31.594399999999997</v>
      </c>
      <c r="AM79">
        <v>2.0156000000000027</v>
      </c>
    </row>
    <row r="80" spans="1:39" x14ac:dyDescent="0.2">
      <c r="A80" s="12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AK80">
        <v>45</v>
      </c>
      <c r="AL80">
        <v>34.354400000000005</v>
      </c>
      <c r="AM80">
        <v>2.6455999999999946</v>
      </c>
    </row>
    <row r="81" spans="1:39" x14ac:dyDescent="0.2">
      <c r="A81" s="1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AK81">
        <v>46</v>
      </c>
      <c r="AL81">
        <v>32.909399999999998</v>
      </c>
      <c r="AM81">
        <v>-2.779399999999999</v>
      </c>
    </row>
    <row r="82" spans="1:39" x14ac:dyDescent="0.2">
      <c r="A82" s="12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AK82">
        <v>47</v>
      </c>
      <c r="AL82">
        <v>32.534399999999998</v>
      </c>
      <c r="AM82">
        <v>-2.5243999999999964</v>
      </c>
    </row>
    <row r="83" spans="1:39" x14ac:dyDescent="0.2">
      <c r="A83" s="12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AK83">
        <v>48</v>
      </c>
      <c r="AL83">
        <v>33.451900000000002</v>
      </c>
      <c r="AM83">
        <v>-0.39189999999999969</v>
      </c>
    </row>
    <row r="84" spans="1:39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AK84">
        <v>49</v>
      </c>
      <c r="AL84">
        <v>35.747199999999999</v>
      </c>
      <c r="AM84">
        <v>3.2128000000000014</v>
      </c>
    </row>
    <row r="85" spans="1:39" x14ac:dyDescent="0.2">
      <c r="A85" s="12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AK85">
        <v>50</v>
      </c>
      <c r="AL85">
        <v>35.879200000000004</v>
      </c>
      <c r="AM85">
        <v>4.0607999999999933</v>
      </c>
    </row>
    <row r="86" spans="1:39" ht="16" thickBot="1" x14ac:dyDescent="0.25">
      <c r="A86" s="12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AK86" s="2">
        <v>51</v>
      </c>
      <c r="AL86" s="2">
        <v>34.397199999999998</v>
      </c>
      <c r="AM86" s="2">
        <v>-3.3671999999999969</v>
      </c>
    </row>
    <row r="87" spans="1:39" x14ac:dyDescent="0.2">
      <c r="A87" s="12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</row>
    <row r="88" spans="1:39" x14ac:dyDescent="0.2">
      <c r="A88" s="12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</row>
    <row r="89" spans="1:39" x14ac:dyDescent="0.2">
      <c r="A89" s="12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</row>
    <row r="90" spans="1:39" x14ac:dyDescent="0.2">
      <c r="A90" s="12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</row>
    <row r="91" spans="1:39" x14ac:dyDescent="0.2">
      <c r="A91" s="12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</row>
    <row r="92" spans="1:39" x14ac:dyDescent="0.2">
      <c r="A92" s="12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</row>
    <row r="93" spans="1:39" x14ac:dyDescent="0.2">
      <c r="A93" s="12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</row>
    <row r="94" spans="1:39" x14ac:dyDescent="0.2">
      <c r="A94" s="12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</row>
    <row r="95" spans="1:39" x14ac:dyDescent="0.2">
      <c r="A95" s="12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</row>
    <row r="96" spans="1:39" x14ac:dyDescent="0.2">
      <c r="A96" s="12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</row>
    <row r="97" spans="1:21" x14ac:dyDescent="0.2">
      <c r="A97" s="12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</row>
    <row r="98" spans="1:21" x14ac:dyDescent="0.2">
      <c r="A98" s="12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</row>
    <row r="99" spans="1:21" x14ac:dyDescent="0.2">
      <c r="A99" s="12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</row>
    <row r="100" spans="1:21" x14ac:dyDescent="0.2">
      <c r="A100" s="12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</row>
    <row r="101" spans="1:21" x14ac:dyDescent="0.2">
      <c r="A101" s="1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</row>
    <row r="102" spans="1:21" x14ac:dyDescent="0.2">
      <c r="A102" s="12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</row>
    <row r="103" spans="1:21" x14ac:dyDescent="0.2">
      <c r="A103" s="12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</row>
    <row r="104" spans="1:21" x14ac:dyDescent="0.2">
      <c r="A104" s="12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</row>
    <row r="105" spans="1:21" x14ac:dyDescent="0.2">
      <c r="A105" s="12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</row>
    <row r="106" spans="1:21" x14ac:dyDescent="0.2">
      <c r="A106" s="12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</row>
    <row r="107" spans="1:21" x14ac:dyDescent="0.2">
      <c r="A107" s="12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</row>
    <row r="108" spans="1:21" x14ac:dyDescent="0.2">
      <c r="A108" s="12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</row>
    <row r="109" spans="1:21" x14ac:dyDescent="0.2">
      <c r="A109" s="12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</row>
    <row r="110" spans="1:21" x14ac:dyDescent="0.2">
      <c r="A110" s="12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</row>
    <row r="111" spans="1:21" x14ac:dyDescent="0.2">
      <c r="A111" s="12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</row>
    <row r="112" spans="1:21" x14ac:dyDescent="0.2">
      <c r="A112" s="12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</row>
    <row r="113" spans="1:21" x14ac:dyDescent="0.2">
      <c r="A113" s="12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</row>
    <row r="114" spans="1:21" x14ac:dyDescent="0.2">
      <c r="A114" s="12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</row>
    <row r="115" spans="1:21" x14ac:dyDescent="0.2">
      <c r="A115" s="12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</row>
    <row r="116" spans="1:21" x14ac:dyDescent="0.2">
      <c r="A116" s="12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</row>
    <row r="117" spans="1:21" x14ac:dyDescent="0.2">
      <c r="A117" s="12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</row>
    <row r="118" spans="1:21" x14ac:dyDescent="0.2">
      <c r="A118" s="12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</row>
    <row r="119" spans="1:21" x14ac:dyDescent="0.2">
      <c r="A119" s="12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</row>
    <row r="120" spans="1:21" x14ac:dyDescent="0.2">
      <c r="A120" s="12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</row>
    <row r="121" spans="1:21" x14ac:dyDescent="0.2">
      <c r="A121" s="1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</row>
    <row r="122" spans="1:21" x14ac:dyDescent="0.2">
      <c r="A122" s="12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</row>
    <row r="123" spans="1:21" x14ac:dyDescent="0.2">
      <c r="A123" s="12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</row>
    <row r="124" spans="1:21" x14ac:dyDescent="0.2">
      <c r="A124" s="12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</row>
    <row r="125" spans="1:21" x14ac:dyDescent="0.2">
      <c r="A125" s="12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</row>
    <row r="126" spans="1:21" x14ac:dyDescent="0.2">
      <c r="A126" s="12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</row>
    <row r="127" spans="1:21" x14ac:dyDescent="0.2">
      <c r="A127" s="12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</row>
    <row r="128" spans="1:21" x14ac:dyDescent="0.2">
      <c r="A128" s="12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</row>
    <row r="129" spans="1:21" x14ac:dyDescent="0.2">
      <c r="A129" s="12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</row>
    <row r="130" spans="1:21" x14ac:dyDescent="0.2">
      <c r="A130" s="12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</row>
    <row r="131" spans="1:21" x14ac:dyDescent="0.2">
      <c r="A131" s="12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</row>
    <row r="132" spans="1:21" x14ac:dyDescent="0.2">
      <c r="A132" s="12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</row>
    <row r="133" spans="1:21" x14ac:dyDescent="0.2">
      <c r="A133" s="12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</row>
    <row r="134" spans="1:21" x14ac:dyDescent="0.2">
      <c r="A134" s="12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</row>
    <row r="135" spans="1:21" x14ac:dyDescent="0.2">
      <c r="A135" s="12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</row>
    <row r="136" spans="1:21" x14ac:dyDescent="0.2">
      <c r="A136" s="12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</row>
    <row r="137" spans="1:21" x14ac:dyDescent="0.2">
      <c r="A137" s="12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</row>
    <row r="138" spans="1:21" x14ac:dyDescent="0.2">
      <c r="A138" s="12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</row>
    <row r="139" spans="1:21" x14ac:dyDescent="0.2">
      <c r="A139" s="12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</row>
    <row r="140" spans="1:21" x14ac:dyDescent="0.2">
      <c r="A140" s="12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</row>
    <row r="141" spans="1:21" x14ac:dyDescent="0.2">
      <c r="A141" s="1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</row>
    <row r="142" spans="1:21" x14ac:dyDescent="0.2">
      <c r="A142" s="12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</row>
    <row r="143" spans="1:21" x14ac:dyDescent="0.2">
      <c r="A143" s="12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</row>
    <row r="144" spans="1:21" x14ac:dyDescent="0.2">
      <c r="A144" s="12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</row>
    <row r="145" spans="1:21" x14ac:dyDescent="0.2">
      <c r="A145" s="12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</row>
    <row r="146" spans="1:21" x14ac:dyDescent="0.2">
      <c r="A146" s="12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</row>
    <row r="147" spans="1:21" x14ac:dyDescent="0.2">
      <c r="A147" s="12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</row>
    <row r="148" spans="1:21" x14ac:dyDescent="0.2">
      <c r="A148" s="12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</row>
    <row r="149" spans="1:21" x14ac:dyDescent="0.2">
      <c r="A149" s="12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</row>
    <row r="150" spans="1:21" x14ac:dyDescent="0.2">
      <c r="A150" s="12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</row>
    <row r="151" spans="1:21" x14ac:dyDescent="0.2">
      <c r="A151" s="12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</row>
    <row r="152" spans="1:21" x14ac:dyDescent="0.2">
      <c r="A152" s="12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</row>
    <row r="153" spans="1:21" x14ac:dyDescent="0.2">
      <c r="A153" s="12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</row>
    <row r="154" spans="1:21" x14ac:dyDescent="0.2">
      <c r="A154" s="12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</row>
    <row r="155" spans="1:21" x14ac:dyDescent="0.2">
      <c r="A155" s="12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</row>
    <row r="156" spans="1:21" x14ac:dyDescent="0.2">
      <c r="A156" s="12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</row>
    <row r="157" spans="1:21" x14ac:dyDescent="0.2">
      <c r="A157" s="12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</row>
    <row r="158" spans="1:21" x14ac:dyDescent="0.2">
      <c r="A158" s="12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</row>
    <row r="159" spans="1:21" x14ac:dyDescent="0.2">
      <c r="A159" s="12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</row>
    <row r="160" spans="1:21" x14ac:dyDescent="0.2">
      <c r="A160" s="12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</row>
    <row r="161" spans="1:21" x14ac:dyDescent="0.2">
      <c r="A161" s="1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</row>
    <row r="162" spans="1:21" x14ac:dyDescent="0.2">
      <c r="A162" s="12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</row>
    <row r="163" spans="1:21" x14ac:dyDescent="0.2">
      <c r="A163" s="12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</row>
    <row r="164" spans="1:21" x14ac:dyDescent="0.2">
      <c r="A164" s="12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</row>
    <row r="165" spans="1:21" x14ac:dyDescent="0.2">
      <c r="A165" s="12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</row>
    <row r="166" spans="1:21" x14ac:dyDescent="0.2">
      <c r="A166" s="12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</row>
    <row r="167" spans="1:21" x14ac:dyDescent="0.2">
      <c r="A167" s="12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</row>
    <row r="168" spans="1:21" x14ac:dyDescent="0.2">
      <c r="A168" s="12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</row>
    <row r="169" spans="1:21" x14ac:dyDescent="0.2">
      <c r="A169" s="12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</row>
    <row r="170" spans="1:21" x14ac:dyDescent="0.2">
      <c r="A170" s="12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</row>
    <row r="171" spans="1:21" x14ac:dyDescent="0.2">
      <c r="A171" s="12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</row>
    <row r="172" spans="1:21" x14ac:dyDescent="0.2">
      <c r="A172" s="12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</row>
    <row r="173" spans="1:21" x14ac:dyDescent="0.2">
      <c r="A173" s="12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</row>
    <row r="174" spans="1:21" x14ac:dyDescent="0.2">
      <c r="A174" s="12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</row>
    <row r="175" spans="1:21" x14ac:dyDescent="0.2">
      <c r="A175" s="12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</row>
    <row r="176" spans="1:21" x14ac:dyDescent="0.2">
      <c r="A176" s="12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</row>
    <row r="177" spans="1:21" x14ac:dyDescent="0.2">
      <c r="A177" s="12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</row>
    <row r="178" spans="1:21" x14ac:dyDescent="0.2">
      <c r="A178" s="12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</row>
    <row r="179" spans="1:21" x14ac:dyDescent="0.2">
      <c r="A179" s="12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</row>
    <row r="180" spans="1:21" x14ac:dyDescent="0.2">
      <c r="A180" s="12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</row>
    <row r="181" spans="1:21" x14ac:dyDescent="0.2">
      <c r="A181" s="1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</row>
    <row r="182" spans="1:21" x14ac:dyDescent="0.2">
      <c r="A182" s="12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</row>
    <row r="183" spans="1:21" x14ac:dyDescent="0.2">
      <c r="A183" s="12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</row>
    <row r="184" spans="1:21" x14ac:dyDescent="0.2">
      <c r="A184" s="12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</row>
    <row r="185" spans="1:21" x14ac:dyDescent="0.2">
      <c r="A185" s="12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</row>
    <row r="186" spans="1:21" x14ac:dyDescent="0.2">
      <c r="A186" s="12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</row>
    <row r="187" spans="1:21" x14ac:dyDescent="0.2">
      <c r="A187" s="12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</row>
    <row r="188" spans="1:21" x14ac:dyDescent="0.2">
      <c r="A188" s="12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</row>
    <row r="189" spans="1:21" x14ac:dyDescent="0.2">
      <c r="A189" s="12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</row>
    <row r="190" spans="1:21" x14ac:dyDescent="0.2">
      <c r="A190" s="12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</row>
    <row r="191" spans="1:21" x14ac:dyDescent="0.2">
      <c r="A191" s="12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</row>
    <row r="192" spans="1:21" x14ac:dyDescent="0.2">
      <c r="A192" s="12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</row>
    <row r="193" spans="1:21" x14ac:dyDescent="0.2">
      <c r="A193" s="12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</row>
    <row r="194" spans="1:21" x14ac:dyDescent="0.2">
      <c r="A194" s="12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</row>
    <row r="195" spans="1:21" x14ac:dyDescent="0.2">
      <c r="A195" s="12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</row>
    <row r="196" spans="1:21" x14ac:dyDescent="0.2">
      <c r="A196" s="12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</row>
    <row r="197" spans="1:21" x14ac:dyDescent="0.2">
      <c r="A197" s="12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</row>
    <row r="198" spans="1:21" x14ac:dyDescent="0.2">
      <c r="A198" s="12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</row>
    <row r="199" spans="1:21" x14ac:dyDescent="0.2">
      <c r="A199" s="12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</row>
    <row r="200" spans="1:21" x14ac:dyDescent="0.2">
      <c r="A200" s="12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</row>
    <row r="201" spans="1:21" x14ac:dyDescent="0.2">
      <c r="A201" s="1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</row>
    <row r="202" spans="1:21" x14ac:dyDescent="0.2">
      <c r="A202" s="12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</row>
    <row r="203" spans="1:21" x14ac:dyDescent="0.2">
      <c r="A203" s="12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</row>
    <row r="204" spans="1:21" x14ac:dyDescent="0.2">
      <c r="A204" s="12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</row>
    <row r="205" spans="1:21" x14ac:dyDescent="0.2">
      <c r="A205" s="12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</row>
    <row r="206" spans="1:21" x14ac:dyDescent="0.2">
      <c r="A206" s="12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</row>
    <row r="207" spans="1:21" x14ac:dyDescent="0.2">
      <c r="A207" s="12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</row>
    <row r="208" spans="1:21" x14ac:dyDescent="0.2">
      <c r="A208" s="12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</row>
    <row r="209" spans="1:21" x14ac:dyDescent="0.2">
      <c r="A209" s="12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</row>
    <row r="210" spans="1:21" x14ac:dyDescent="0.2">
      <c r="A210" s="12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</row>
    <row r="211" spans="1:21" x14ac:dyDescent="0.2">
      <c r="A211" s="12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</row>
    <row r="212" spans="1:21" x14ac:dyDescent="0.2">
      <c r="A212" s="12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</row>
    <row r="213" spans="1:21" x14ac:dyDescent="0.2">
      <c r="A213" s="12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</row>
    <row r="214" spans="1:21" x14ac:dyDescent="0.2">
      <c r="A214" s="12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</row>
    <row r="215" spans="1:21" x14ac:dyDescent="0.2">
      <c r="A215" s="12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</row>
    <row r="216" spans="1:21" x14ac:dyDescent="0.2">
      <c r="A216" s="12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</row>
    <row r="217" spans="1:21" x14ac:dyDescent="0.2">
      <c r="A217" s="12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</row>
    <row r="218" spans="1:21" x14ac:dyDescent="0.2">
      <c r="A218" s="12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</row>
    <row r="219" spans="1:21" x14ac:dyDescent="0.2">
      <c r="A219" s="12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</row>
    <row r="220" spans="1:21" x14ac:dyDescent="0.2">
      <c r="A220" s="12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</row>
    <row r="221" spans="1:21" x14ac:dyDescent="0.2">
      <c r="A221" s="1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</row>
    <row r="222" spans="1:21" x14ac:dyDescent="0.2">
      <c r="A222" s="12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</row>
    <row r="223" spans="1:21" x14ac:dyDescent="0.2">
      <c r="A223" s="12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</row>
    <row r="224" spans="1:21" x14ac:dyDescent="0.2">
      <c r="A224" s="12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</row>
    <row r="225" spans="1:21" x14ac:dyDescent="0.2">
      <c r="A225" s="12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</row>
    <row r="226" spans="1:21" x14ac:dyDescent="0.2">
      <c r="A226" s="12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</row>
    <row r="227" spans="1:21" x14ac:dyDescent="0.2">
      <c r="A227" s="12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</row>
    <row r="228" spans="1:21" x14ac:dyDescent="0.2">
      <c r="A228" s="12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</row>
    <row r="229" spans="1:21" x14ac:dyDescent="0.2">
      <c r="A229" s="12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</row>
    <row r="230" spans="1:21" x14ac:dyDescent="0.2">
      <c r="A230" s="12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</row>
    <row r="231" spans="1:21" x14ac:dyDescent="0.2">
      <c r="A231" s="12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</row>
    <row r="232" spans="1:21" x14ac:dyDescent="0.2">
      <c r="A232" s="12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</row>
    <row r="233" spans="1:21" x14ac:dyDescent="0.2">
      <c r="A233" s="12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</row>
    <row r="234" spans="1:21" x14ac:dyDescent="0.2">
      <c r="A234" s="12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</row>
    <row r="235" spans="1:21" x14ac:dyDescent="0.2">
      <c r="A235" s="12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</row>
    <row r="236" spans="1:21" x14ac:dyDescent="0.2">
      <c r="A236" s="12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</row>
    <row r="237" spans="1:21" x14ac:dyDescent="0.2">
      <c r="A237" s="12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</row>
    <row r="238" spans="1:21" x14ac:dyDescent="0.2">
      <c r="A238" s="12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</row>
    <row r="239" spans="1:21" x14ac:dyDescent="0.2">
      <c r="A239" s="12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</row>
    <row r="240" spans="1:21" x14ac:dyDescent="0.2">
      <c r="A240" s="12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</row>
    <row r="241" spans="1:21" x14ac:dyDescent="0.2">
      <c r="A241" s="1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</row>
    <row r="242" spans="1:21" x14ac:dyDescent="0.2">
      <c r="A242" s="12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</row>
    <row r="243" spans="1:21" x14ac:dyDescent="0.2">
      <c r="A243" s="12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</row>
    <row r="244" spans="1:21" x14ac:dyDescent="0.2">
      <c r="A244" s="12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</row>
    <row r="245" spans="1:21" x14ac:dyDescent="0.2">
      <c r="A245" s="12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</row>
    <row r="246" spans="1:21" x14ac:dyDescent="0.2">
      <c r="A246" s="12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</row>
    <row r="247" spans="1:21" x14ac:dyDescent="0.2">
      <c r="A247" s="12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</row>
    <row r="248" spans="1:21" x14ac:dyDescent="0.2">
      <c r="A248" s="12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</row>
    <row r="249" spans="1:21" x14ac:dyDescent="0.2">
      <c r="A249" s="12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</row>
    <row r="250" spans="1:21" x14ac:dyDescent="0.2">
      <c r="A250" s="12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</row>
    <row r="251" spans="1:21" x14ac:dyDescent="0.2">
      <c r="A251" s="12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</row>
    <row r="252" spans="1:21" x14ac:dyDescent="0.2">
      <c r="A252" s="12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</row>
    <row r="253" spans="1:21" x14ac:dyDescent="0.2">
      <c r="A253" s="12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</row>
    <row r="254" spans="1:21" x14ac:dyDescent="0.2">
      <c r="A254" s="12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</row>
    <row r="255" spans="1:21" x14ac:dyDescent="0.2">
      <c r="A255" s="12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</row>
    <row r="256" spans="1:21" x14ac:dyDescent="0.2">
      <c r="A256" s="12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</row>
    <row r="257" spans="1:21" x14ac:dyDescent="0.2">
      <c r="A257" s="12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</row>
    <row r="258" spans="1:21" x14ac:dyDescent="0.2">
      <c r="A258" s="12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</row>
    <row r="259" spans="1:21" x14ac:dyDescent="0.2">
      <c r="A259" s="12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</row>
    <row r="260" spans="1:21" x14ac:dyDescent="0.2">
      <c r="A260" s="12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</row>
    <row r="261" spans="1:21" x14ac:dyDescent="0.2">
      <c r="A261" s="1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</row>
    <row r="262" spans="1:21" x14ac:dyDescent="0.2">
      <c r="A262" s="12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</row>
    <row r="263" spans="1:21" x14ac:dyDescent="0.2">
      <c r="A263" s="12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</row>
    <row r="264" spans="1:21" x14ac:dyDescent="0.2">
      <c r="A264" s="12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</row>
    <row r="265" spans="1:21" x14ac:dyDescent="0.2">
      <c r="A265" s="12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</row>
    <row r="266" spans="1:21" x14ac:dyDescent="0.2">
      <c r="A266" s="12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</row>
    <row r="267" spans="1:21" x14ac:dyDescent="0.2">
      <c r="A267" s="12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</row>
    <row r="268" spans="1:21" x14ac:dyDescent="0.2">
      <c r="A268" s="12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</row>
    <row r="269" spans="1:21" x14ac:dyDescent="0.2">
      <c r="A269" s="12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</row>
    <row r="270" spans="1:21" x14ac:dyDescent="0.2">
      <c r="A270" s="12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</row>
    <row r="271" spans="1:21" x14ac:dyDescent="0.2">
      <c r="A271" s="12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</row>
    <row r="272" spans="1:21" x14ac:dyDescent="0.2">
      <c r="A272" s="12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</row>
    <row r="273" spans="1:21" x14ac:dyDescent="0.2">
      <c r="A273" s="12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</row>
    <row r="274" spans="1:21" x14ac:dyDescent="0.2">
      <c r="A274" s="12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</row>
    <row r="275" spans="1:21" x14ac:dyDescent="0.2">
      <c r="A275" s="12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</row>
    <row r="276" spans="1:21" x14ac:dyDescent="0.2">
      <c r="A276" s="12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</row>
    <row r="277" spans="1:21" x14ac:dyDescent="0.2">
      <c r="A277" s="12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</row>
    <row r="278" spans="1:21" x14ac:dyDescent="0.2">
      <c r="A278" s="12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</row>
    <row r="279" spans="1:21" x14ac:dyDescent="0.2">
      <c r="A279" s="12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</row>
    <row r="280" spans="1:21" x14ac:dyDescent="0.2">
      <c r="A280" s="12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</row>
    <row r="281" spans="1:21" x14ac:dyDescent="0.2">
      <c r="A281" s="1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</row>
    <row r="282" spans="1:21" x14ac:dyDescent="0.2">
      <c r="A282" s="12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</row>
    <row r="283" spans="1:21" x14ac:dyDescent="0.2">
      <c r="A283" s="12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</row>
    <row r="284" spans="1:21" x14ac:dyDescent="0.2">
      <c r="A284" s="12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</row>
    <row r="285" spans="1:21" x14ac:dyDescent="0.2">
      <c r="A285" s="12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</row>
    <row r="286" spans="1:21" x14ac:dyDescent="0.2">
      <c r="A286" s="12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</row>
    <row r="287" spans="1:21" x14ac:dyDescent="0.2">
      <c r="A287" s="12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</row>
    <row r="288" spans="1:21" x14ac:dyDescent="0.2">
      <c r="A288" s="12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</row>
    <row r="289" spans="1:21" x14ac:dyDescent="0.2">
      <c r="A289" s="12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</row>
    <row r="290" spans="1:21" x14ac:dyDescent="0.2">
      <c r="A290" s="12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</row>
    <row r="291" spans="1:21" x14ac:dyDescent="0.2">
      <c r="A291" s="12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</row>
    <row r="292" spans="1:21" x14ac:dyDescent="0.2">
      <c r="A292" s="12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</row>
    <row r="293" spans="1:21" x14ac:dyDescent="0.2">
      <c r="A293" s="12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</row>
    <row r="294" spans="1:21" x14ac:dyDescent="0.2">
      <c r="A294" s="12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</row>
    <row r="295" spans="1:21" x14ac:dyDescent="0.2">
      <c r="A295" s="12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</row>
    <row r="296" spans="1:21" x14ac:dyDescent="0.2">
      <c r="A296" s="12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</row>
    <row r="297" spans="1:21" x14ac:dyDescent="0.2">
      <c r="A297" s="12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</row>
    <row r="298" spans="1:21" x14ac:dyDescent="0.2">
      <c r="A298" s="12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</row>
    <row r="299" spans="1:21" x14ac:dyDescent="0.2">
      <c r="A299" s="12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</row>
    <row r="300" spans="1:21" x14ac:dyDescent="0.2">
      <c r="A300" s="12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</row>
    <row r="301" spans="1:21" x14ac:dyDescent="0.2">
      <c r="A301" s="1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</row>
    <row r="302" spans="1:21" x14ac:dyDescent="0.2">
      <c r="A302" s="12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</row>
    <row r="303" spans="1:21" x14ac:dyDescent="0.2">
      <c r="A303" s="12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</row>
    <row r="304" spans="1:21" x14ac:dyDescent="0.2">
      <c r="A304" s="12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</row>
    <row r="305" spans="1:21" x14ac:dyDescent="0.2">
      <c r="A305" s="12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</row>
    <row r="306" spans="1:21" x14ac:dyDescent="0.2">
      <c r="A306" s="12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</row>
    <row r="307" spans="1:21" x14ac:dyDescent="0.2">
      <c r="A307" s="12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</row>
    <row r="308" spans="1:21" x14ac:dyDescent="0.2">
      <c r="A308" s="12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</row>
    <row r="309" spans="1:21" x14ac:dyDescent="0.2">
      <c r="A309" s="12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</row>
    <row r="310" spans="1:21" x14ac:dyDescent="0.2">
      <c r="A310" s="12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</row>
    <row r="311" spans="1:21" x14ac:dyDescent="0.2">
      <c r="A311" s="12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</row>
    <row r="312" spans="1:21" x14ac:dyDescent="0.2">
      <c r="A312" s="12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</row>
  </sheetData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16CF-D608-4B29-A381-2EDCAE33B63D}">
  <sheetPr codeName="Sheet3"/>
  <dimension ref="A1:AS86"/>
  <sheetViews>
    <sheetView topLeftCell="S1" zoomScale="80" zoomScaleNormal="80" workbookViewId="0">
      <selection activeCell="V31" sqref="V31"/>
    </sheetView>
  </sheetViews>
  <sheetFormatPr baseColWidth="10" defaultColWidth="8.83203125" defaultRowHeight="15" x14ac:dyDescent="0.2"/>
  <cols>
    <col min="1" max="1" width="11.5" style="6"/>
    <col min="2" max="2" width="16.5" bestFit="1" customWidth="1"/>
  </cols>
  <sheetData>
    <row r="1" spans="1:45" x14ac:dyDescent="0.2">
      <c r="A1" s="6" t="s">
        <v>0</v>
      </c>
      <c r="B1" t="s">
        <v>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35</v>
      </c>
      <c r="I1" t="s">
        <v>3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Z1" t="s">
        <v>7</v>
      </c>
      <c r="AK1" t="s">
        <v>7</v>
      </c>
    </row>
    <row r="2" spans="1:45" ht="16" thickBot="1" x14ac:dyDescent="0.25">
      <c r="A2" s="7">
        <v>43831</v>
      </c>
      <c r="B2">
        <v>5.41</v>
      </c>
      <c r="C2">
        <f>ROUNDUP(MONTH(A2)/3,0)</f>
        <v>1</v>
      </c>
      <c r="D2">
        <v>1</v>
      </c>
      <c r="E2">
        <f>IF(C2=1,1,0)</f>
        <v>1</v>
      </c>
      <c r="F2">
        <f>IF(C2=2,1,0)</f>
        <v>0</v>
      </c>
      <c r="G2">
        <f>IF(C2=3,1,0)</f>
        <v>0</v>
      </c>
      <c r="H2">
        <f>MONTH(A2)</f>
        <v>1</v>
      </c>
      <c r="I2">
        <v>1</v>
      </c>
      <c r="J2">
        <f>IF(H2=1,1,0)</f>
        <v>1</v>
      </c>
      <c r="K2">
        <f>IF(H2=2,1,0)</f>
        <v>0</v>
      </c>
      <c r="L2">
        <f>IF(H2=3,1,0)</f>
        <v>0</v>
      </c>
      <c r="M2">
        <f>IF(H2=4,1,0)</f>
        <v>0</v>
      </c>
      <c r="N2">
        <f>IF(H2=5,1,0)</f>
        <v>0</v>
      </c>
      <c r="O2">
        <f>IF(H2=6,1,0)</f>
        <v>0</v>
      </c>
      <c r="P2">
        <f>IF(H2=7,1,0)</f>
        <v>0</v>
      </c>
      <c r="Q2">
        <f>IF(H2=8,1,0)</f>
        <v>0</v>
      </c>
      <c r="R2">
        <f>IF(H2=9,1,0)</f>
        <v>0</v>
      </c>
      <c r="S2">
        <f>IF(H2=10,1,0)</f>
        <v>0</v>
      </c>
      <c r="T2">
        <f>IF(H2=11,1,0)</f>
        <v>0</v>
      </c>
    </row>
    <row r="3" spans="1:45" x14ac:dyDescent="0.2">
      <c r="A3" s="7">
        <v>43862</v>
      </c>
      <c r="B3">
        <v>5.68</v>
      </c>
      <c r="C3">
        <f t="shared" ref="C3:C52" si="0">ROUNDUP(MONTH(A3)/3,0)</f>
        <v>1</v>
      </c>
      <c r="D3">
        <v>2</v>
      </c>
      <c r="E3">
        <f t="shared" ref="E3:E52" si="1">IF(C3=1,1,0)</f>
        <v>1</v>
      </c>
      <c r="F3">
        <f t="shared" ref="F3:F52" si="2">IF(C3=2,1,0)</f>
        <v>0</v>
      </c>
      <c r="G3">
        <f t="shared" ref="G3:G52" si="3">IF(C3=3,1,0)</f>
        <v>0</v>
      </c>
      <c r="H3">
        <f t="shared" ref="H3:H52" si="4">MONTH(A3)</f>
        <v>2</v>
      </c>
      <c r="I3">
        <v>2</v>
      </c>
      <c r="J3">
        <f t="shared" ref="J3:J52" si="5">IF(H3=1,1,0)</f>
        <v>0</v>
      </c>
      <c r="K3">
        <f t="shared" ref="K3:K52" si="6">IF(H3=2,1,0)</f>
        <v>1</v>
      </c>
      <c r="L3">
        <f t="shared" ref="L3:L52" si="7">IF(H3=3,1,0)</f>
        <v>0</v>
      </c>
      <c r="M3">
        <f t="shared" ref="M3:M52" si="8">IF(H3=4,1,0)</f>
        <v>0</v>
      </c>
      <c r="N3">
        <f t="shared" ref="N3:N52" si="9">IF(H3=5,1,0)</f>
        <v>0</v>
      </c>
      <c r="O3">
        <f t="shared" ref="O3:O52" si="10">IF(H3=6,1,0)</f>
        <v>0</v>
      </c>
      <c r="P3">
        <f t="shared" ref="P3:P52" si="11">IF(H3=7,1,0)</f>
        <v>0</v>
      </c>
      <c r="Q3">
        <f t="shared" ref="Q3:Q52" si="12">IF(H3=8,1,0)</f>
        <v>0</v>
      </c>
      <c r="R3">
        <f t="shared" ref="R3:R52" si="13">IF(H3=9,1,0)</f>
        <v>0</v>
      </c>
      <c r="S3">
        <f t="shared" ref="S3:S52" si="14">IF(H3=10,1,0)</f>
        <v>0</v>
      </c>
      <c r="T3">
        <f t="shared" ref="T3:T52" si="15">IF(H3=11,1,0)</f>
        <v>0</v>
      </c>
      <c r="Z3" s="4" t="s">
        <v>8</v>
      </c>
      <c r="AA3" s="4"/>
      <c r="AK3" s="4" t="s">
        <v>8</v>
      </c>
      <c r="AL3" s="4"/>
    </row>
    <row r="4" spans="1:45" x14ac:dyDescent="0.2">
      <c r="A4" s="7">
        <v>43891</v>
      </c>
      <c r="B4">
        <v>5.82</v>
      </c>
      <c r="C4">
        <f t="shared" si="0"/>
        <v>1</v>
      </c>
      <c r="D4">
        <v>3</v>
      </c>
      <c r="E4">
        <f t="shared" si="1"/>
        <v>1</v>
      </c>
      <c r="F4">
        <f t="shared" si="2"/>
        <v>0</v>
      </c>
      <c r="G4">
        <f t="shared" si="3"/>
        <v>0</v>
      </c>
      <c r="H4">
        <f t="shared" si="4"/>
        <v>3</v>
      </c>
      <c r="I4">
        <v>3</v>
      </c>
      <c r="J4">
        <f t="shared" si="5"/>
        <v>0</v>
      </c>
      <c r="K4">
        <f t="shared" si="6"/>
        <v>0</v>
      </c>
      <c r="L4">
        <f t="shared" si="7"/>
        <v>1</v>
      </c>
      <c r="M4">
        <f t="shared" si="8"/>
        <v>0</v>
      </c>
      <c r="N4">
        <f t="shared" si="9"/>
        <v>0</v>
      </c>
      <c r="O4">
        <f t="shared" si="10"/>
        <v>0</v>
      </c>
      <c r="P4">
        <f t="shared" si="11"/>
        <v>0</v>
      </c>
      <c r="Q4">
        <f t="shared" si="12"/>
        <v>0</v>
      </c>
      <c r="R4">
        <f t="shared" si="13"/>
        <v>0</v>
      </c>
      <c r="S4">
        <f t="shared" si="14"/>
        <v>0</v>
      </c>
      <c r="T4">
        <f t="shared" si="15"/>
        <v>0</v>
      </c>
      <c r="Z4" t="s">
        <v>9</v>
      </c>
      <c r="AA4">
        <v>0.36954799338587069</v>
      </c>
      <c r="AD4" t="s">
        <v>32</v>
      </c>
      <c r="AE4" t="s">
        <v>54</v>
      </c>
      <c r="AK4" t="s">
        <v>9</v>
      </c>
      <c r="AL4">
        <v>0.61962074606047357</v>
      </c>
      <c r="AO4" t="s">
        <v>32</v>
      </c>
      <c r="AP4" t="s">
        <v>54</v>
      </c>
    </row>
    <row r="5" spans="1:45" x14ac:dyDescent="0.2">
      <c r="A5" s="7">
        <v>43922</v>
      </c>
      <c r="B5">
        <v>5.66</v>
      </c>
      <c r="C5">
        <f t="shared" si="0"/>
        <v>2</v>
      </c>
      <c r="D5">
        <v>4</v>
      </c>
      <c r="E5">
        <f t="shared" si="1"/>
        <v>0</v>
      </c>
      <c r="F5">
        <f t="shared" si="2"/>
        <v>1</v>
      </c>
      <c r="G5">
        <f t="shared" si="3"/>
        <v>0</v>
      </c>
      <c r="H5">
        <f t="shared" si="4"/>
        <v>4</v>
      </c>
      <c r="I5">
        <v>4</v>
      </c>
      <c r="J5">
        <f t="shared" si="5"/>
        <v>0</v>
      </c>
      <c r="K5">
        <f t="shared" si="6"/>
        <v>0</v>
      </c>
      <c r="L5">
        <f t="shared" si="7"/>
        <v>0</v>
      </c>
      <c r="M5">
        <f t="shared" si="8"/>
        <v>1</v>
      </c>
      <c r="N5">
        <f t="shared" si="9"/>
        <v>0</v>
      </c>
      <c r="O5">
        <f t="shared" si="10"/>
        <v>0</v>
      </c>
      <c r="P5">
        <f t="shared" si="11"/>
        <v>0</v>
      </c>
      <c r="Q5">
        <f t="shared" si="12"/>
        <v>0</v>
      </c>
      <c r="R5">
        <f t="shared" si="13"/>
        <v>0</v>
      </c>
      <c r="S5">
        <f t="shared" si="14"/>
        <v>0</v>
      </c>
      <c r="T5">
        <f t="shared" si="15"/>
        <v>0</v>
      </c>
      <c r="Z5" t="s">
        <v>10</v>
      </c>
      <c r="AA5">
        <v>0.13656571941552351</v>
      </c>
      <c r="AD5">
        <v>52</v>
      </c>
      <c r="AE5">
        <f>$AA$18*AD5+$AA$17</f>
        <v>5.411986031628822</v>
      </c>
      <c r="AK5" t="s">
        <v>10</v>
      </c>
      <c r="AL5">
        <v>0.38392986894853792</v>
      </c>
      <c r="AO5">
        <v>52</v>
      </c>
      <c r="AP5">
        <f>$AL$18*AO5+$AL$17</f>
        <v>5.6050444444444416</v>
      </c>
    </row>
    <row r="6" spans="1:45" x14ac:dyDescent="0.2">
      <c r="A6" s="7">
        <v>43952</v>
      </c>
      <c r="B6">
        <v>5.76</v>
      </c>
      <c r="C6">
        <f t="shared" si="0"/>
        <v>2</v>
      </c>
      <c r="D6">
        <v>5</v>
      </c>
      <c r="E6">
        <f t="shared" si="1"/>
        <v>0</v>
      </c>
      <c r="F6">
        <f t="shared" si="2"/>
        <v>1</v>
      </c>
      <c r="G6">
        <f t="shared" si="3"/>
        <v>0</v>
      </c>
      <c r="H6">
        <f t="shared" si="4"/>
        <v>5</v>
      </c>
      <c r="I6">
        <v>5</v>
      </c>
      <c r="J6">
        <f t="shared" si="5"/>
        <v>0</v>
      </c>
      <c r="K6">
        <f t="shared" si="6"/>
        <v>0</v>
      </c>
      <c r="L6">
        <f t="shared" si="7"/>
        <v>0</v>
      </c>
      <c r="M6">
        <f t="shared" si="8"/>
        <v>0</v>
      </c>
      <c r="N6">
        <f t="shared" si="9"/>
        <v>1</v>
      </c>
      <c r="O6">
        <f t="shared" si="10"/>
        <v>0</v>
      </c>
      <c r="P6">
        <f t="shared" si="11"/>
        <v>0</v>
      </c>
      <c r="Q6">
        <f t="shared" si="12"/>
        <v>0</v>
      </c>
      <c r="R6">
        <f t="shared" si="13"/>
        <v>0</v>
      </c>
      <c r="S6">
        <f t="shared" si="14"/>
        <v>0</v>
      </c>
      <c r="T6">
        <f t="shared" si="15"/>
        <v>0</v>
      </c>
      <c r="Z6" t="s">
        <v>11</v>
      </c>
      <c r="AA6">
        <v>6.1484477625569023E-2</v>
      </c>
      <c r="AC6" t="s">
        <v>53</v>
      </c>
      <c r="AD6">
        <v>53</v>
      </c>
      <c r="AE6">
        <f t="shared" ref="AE6:AE7" si="16">$AA$18*AD6+$AA$17</f>
        <v>5.4065651344532633</v>
      </c>
      <c r="AK6" t="s">
        <v>11</v>
      </c>
      <c r="AL6">
        <v>0.18938140651123411</v>
      </c>
      <c r="AN6" t="s">
        <v>53</v>
      </c>
      <c r="AO6">
        <v>53</v>
      </c>
      <c r="AP6">
        <f t="shared" ref="AP6:AP7" si="17">$AL$18*AO6+$AL$17</f>
        <v>5.5997055555555528</v>
      </c>
    </row>
    <row r="7" spans="1:45" x14ac:dyDescent="0.2">
      <c r="A7" s="7">
        <v>43983</v>
      </c>
      <c r="B7">
        <v>5.41</v>
      </c>
      <c r="C7">
        <f t="shared" si="0"/>
        <v>2</v>
      </c>
      <c r="D7">
        <v>6</v>
      </c>
      <c r="E7">
        <f t="shared" si="1"/>
        <v>0</v>
      </c>
      <c r="F7">
        <f t="shared" si="2"/>
        <v>1</v>
      </c>
      <c r="G7">
        <f t="shared" si="3"/>
        <v>0</v>
      </c>
      <c r="H7">
        <f t="shared" si="4"/>
        <v>6</v>
      </c>
      <c r="I7">
        <v>6</v>
      </c>
      <c r="J7">
        <f t="shared" si="5"/>
        <v>0</v>
      </c>
      <c r="K7">
        <f t="shared" si="6"/>
        <v>0</v>
      </c>
      <c r="L7">
        <f t="shared" si="7"/>
        <v>0</v>
      </c>
      <c r="M7">
        <f t="shared" si="8"/>
        <v>0</v>
      </c>
      <c r="N7">
        <f t="shared" si="9"/>
        <v>0</v>
      </c>
      <c r="O7">
        <f t="shared" si="10"/>
        <v>1</v>
      </c>
      <c r="P7">
        <f t="shared" si="11"/>
        <v>0</v>
      </c>
      <c r="Q7">
        <f t="shared" si="12"/>
        <v>0</v>
      </c>
      <c r="R7">
        <f t="shared" si="13"/>
        <v>0</v>
      </c>
      <c r="S7">
        <f t="shared" si="14"/>
        <v>0</v>
      </c>
      <c r="T7">
        <f t="shared" si="15"/>
        <v>0</v>
      </c>
      <c r="Z7" t="s">
        <v>12</v>
      </c>
      <c r="AA7">
        <v>0.2324997604274652</v>
      </c>
      <c r="AC7">
        <f>AB13/AA8</f>
        <v>4.8756517167570991E-2</v>
      </c>
      <c r="AD7">
        <v>54</v>
      </c>
      <c r="AE7">
        <f t="shared" si="16"/>
        <v>5.4011442372777045</v>
      </c>
      <c r="AK7" t="s">
        <v>12</v>
      </c>
      <c r="AL7">
        <v>0.21607775566038276</v>
      </c>
      <c r="AN7">
        <f>AM13/AL8</f>
        <v>3.4788326797385624E-2</v>
      </c>
      <c r="AO7">
        <v>54</v>
      </c>
      <c r="AP7">
        <f t="shared" si="17"/>
        <v>5.594366666666664</v>
      </c>
    </row>
    <row r="8" spans="1:45" ht="16" thickBot="1" x14ac:dyDescent="0.25">
      <c r="A8" s="7">
        <v>44013</v>
      </c>
      <c r="B8">
        <v>5.93</v>
      </c>
      <c r="C8">
        <f t="shared" si="0"/>
        <v>3</v>
      </c>
      <c r="D8">
        <v>7</v>
      </c>
      <c r="E8">
        <f t="shared" si="1"/>
        <v>0</v>
      </c>
      <c r="F8">
        <f t="shared" si="2"/>
        <v>0</v>
      </c>
      <c r="G8">
        <f t="shared" si="3"/>
        <v>1</v>
      </c>
      <c r="H8">
        <f t="shared" si="4"/>
        <v>7</v>
      </c>
      <c r="I8">
        <v>7</v>
      </c>
      <c r="J8">
        <f t="shared" si="5"/>
        <v>0</v>
      </c>
      <c r="K8">
        <f t="shared" si="6"/>
        <v>0</v>
      </c>
      <c r="L8">
        <f t="shared" si="7"/>
        <v>0</v>
      </c>
      <c r="M8">
        <f t="shared" si="8"/>
        <v>0</v>
      </c>
      <c r="N8">
        <f t="shared" si="9"/>
        <v>0</v>
      </c>
      <c r="O8">
        <f t="shared" si="10"/>
        <v>0</v>
      </c>
      <c r="P8">
        <f t="shared" si="11"/>
        <v>1</v>
      </c>
      <c r="Q8">
        <f t="shared" si="12"/>
        <v>0</v>
      </c>
      <c r="R8">
        <f t="shared" si="13"/>
        <v>0</v>
      </c>
      <c r="S8">
        <f t="shared" si="14"/>
        <v>0</v>
      </c>
      <c r="T8">
        <f t="shared" si="15"/>
        <v>0</v>
      </c>
      <c r="Z8" s="5" t="s">
        <v>13</v>
      </c>
      <c r="AA8" s="5">
        <v>51</v>
      </c>
      <c r="AK8" s="5" t="s">
        <v>13</v>
      </c>
      <c r="AL8" s="5">
        <v>51</v>
      </c>
    </row>
    <row r="9" spans="1:45" x14ac:dyDescent="0.2">
      <c r="A9" s="7">
        <v>44044</v>
      </c>
      <c r="B9">
        <v>5.8</v>
      </c>
      <c r="C9">
        <f t="shared" si="0"/>
        <v>3</v>
      </c>
      <c r="D9">
        <v>8</v>
      </c>
      <c r="E9">
        <f t="shared" si="1"/>
        <v>0</v>
      </c>
      <c r="F9">
        <f t="shared" si="2"/>
        <v>0</v>
      </c>
      <c r="G9">
        <f t="shared" si="3"/>
        <v>1</v>
      </c>
      <c r="H9">
        <f t="shared" si="4"/>
        <v>8</v>
      </c>
      <c r="I9">
        <v>8</v>
      </c>
      <c r="J9">
        <f t="shared" si="5"/>
        <v>0</v>
      </c>
      <c r="K9">
        <f t="shared" si="6"/>
        <v>0</v>
      </c>
      <c r="L9">
        <f t="shared" si="7"/>
        <v>0</v>
      </c>
      <c r="M9">
        <f t="shared" si="8"/>
        <v>0</v>
      </c>
      <c r="N9">
        <f t="shared" si="9"/>
        <v>0</v>
      </c>
      <c r="O9">
        <f t="shared" si="10"/>
        <v>0</v>
      </c>
      <c r="P9">
        <f t="shared" si="11"/>
        <v>0</v>
      </c>
      <c r="Q9">
        <f t="shared" si="12"/>
        <v>1</v>
      </c>
      <c r="R9">
        <f t="shared" si="13"/>
        <v>0</v>
      </c>
      <c r="S9">
        <f t="shared" si="14"/>
        <v>0</v>
      </c>
      <c r="T9">
        <f t="shared" si="15"/>
        <v>0</v>
      </c>
    </row>
    <row r="10" spans="1:45" ht="16" thickBot="1" x14ac:dyDescent="0.25">
      <c r="A10" s="7">
        <v>44075</v>
      </c>
      <c r="B10">
        <v>5.18</v>
      </c>
      <c r="C10">
        <f t="shared" si="0"/>
        <v>3</v>
      </c>
      <c r="D10">
        <v>9</v>
      </c>
      <c r="E10">
        <f t="shared" si="1"/>
        <v>0</v>
      </c>
      <c r="F10">
        <f t="shared" si="2"/>
        <v>0</v>
      </c>
      <c r="G10">
        <f t="shared" si="3"/>
        <v>1</v>
      </c>
      <c r="H10">
        <f t="shared" si="4"/>
        <v>9</v>
      </c>
      <c r="I10">
        <v>9</v>
      </c>
      <c r="J10">
        <f t="shared" si="5"/>
        <v>0</v>
      </c>
      <c r="K10">
        <f t="shared" si="6"/>
        <v>0</v>
      </c>
      <c r="L10">
        <f t="shared" si="7"/>
        <v>0</v>
      </c>
      <c r="M10">
        <f t="shared" si="8"/>
        <v>0</v>
      </c>
      <c r="N10">
        <f t="shared" si="9"/>
        <v>0</v>
      </c>
      <c r="O10">
        <f t="shared" si="10"/>
        <v>0</v>
      </c>
      <c r="P10">
        <f t="shared" si="11"/>
        <v>0</v>
      </c>
      <c r="Q10">
        <f t="shared" si="12"/>
        <v>0</v>
      </c>
      <c r="R10">
        <f t="shared" si="13"/>
        <v>1</v>
      </c>
      <c r="S10">
        <f t="shared" si="14"/>
        <v>0</v>
      </c>
      <c r="T10">
        <f t="shared" si="15"/>
        <v>0</v>
      </c>
      <c r="Z10" t="s">
        <v>14</v>
      </c>
      <c r="AK10" t="s">
        <v>14</v>
      </c>
    </row>
    <row r="11" spans="1:45" x14ac:dyDescent="0.2">
      <c r="A11" s="7">
        <v>44105</v>
      </c>
      <c r="B11">
        <v>5.61</v>
      </c>
      <c r="C11">
        <f t="shared" si="0"/>
        <v>4</v>
      </c>
      <c r="D11">
        <v>10</v>
      </c>
      <c r="E11">
        <f t="shared" si="1"/>
        <v>0</v>
      </c>
      <c r="F11">
        <f t="shared" si="2"/>
        <v>0</v>
      </c>
      <c r="G11">
        <f t="shared" si="3"/>
        <v>0</v>
      </c>
      <c r="H11">
        <f t="shared" si="4"/>
        <v>10</v>
      </c>
      <c r="I11">
        <v>10</v>
      </c>
      <c r="J11">
        <f t="shared" si="5"/>
        <v>0</v>
      </c>
      <c r="K11">
        <f t="shared" si="6"/>
        <v>0</v>
      </c>
      <c r="L11">
        <f t="shared" si="7"/>
        <v>0</v>
      </c>
      <c r="M11">
        <f t="shared" si="8"/>
        <v>0</v>
      </c>
      <c r="N11">
        <f t="shared" si="9"/>
        <v>0</v>
      </c>
      <c r="O11">
        <f t="shared" si="10"/>
        <v>0</v>
      </c>
      <c r="P11">
        <f t="shared" si="11"/>
        <v>0</v>
      </c>
      <c r="Q11">
        <f t="shared" si="12"/>
        <v>0</v>
      </c>
      <c r="R11">
        <f t="shared" si="13"/>
        <v>0</v>
      </c>
      <c r="S11">
        <f t="shared" si="14"/>
        <v>1</v>
      </c>
      <c r="T11">
        <f t="shared" si="15"/>
        <v>0</v>
      </c>
      <c r="Z11" s="3"/>
      <c r="AA11" s="3" t="s">
        <v>19</v>
      </c>
      <c r="AB11" s="3" t="s">
        <v>20</v>
      </c>
      <c r="AC11" s="3" t="s">
        <v>21</v>
      </c>
      <c r="AD11" s="3" t="s">
        <v>22</v>
      </c>
      <c r="AE11" s="3" t="s">
        <v>23</v>
      </c>
      <c r="AK11" s="3"/>
      <c r="AL11" s="3" t="s">
        <v>19</v>
      </c>
      <c r="AM11" s="3" t="s">
        <v>20</v>
      </c>
      <c r="AN11" s="3" t="s">
        <v>21</v>
      </c>
      <c r="AO11" s="3" t="s">
        <v>22</v>
      </c>
      <c r="AP11" s="3" t="s">
        <v>23</v>
      </c>
    </row>
    <row r="12" spans="1:45" x14ac:dyDescent="0.2">
      <c r="A12" s="7">
        <v>44136</v>
      </c>
      <c r="B12">
        <v>5.57</v>
      </c>
      <c r="C12">
        <f t="shared" si="0"/>
        <v>4</v>
      </c>
      <c r="D12">
        <v>11</v>
      </c>
      <c r="E12">
        <f t="shared" si="1"/>
        <v>0</v>
      </c>
      <c r="F12">
        <f t="shared" si="2"/>
        <v>0</v>
      </c>
      <c r="G12">
        <f t="shared" si="3"/>
        <v>0</v>
      </c>
      <c r="H12">
        <f t="shared" si="4"/>
        <v>11</v>
      </c>
      <c r="I12">
        <v>11</v>
      </c>
      <c r="J12">
        <f t="shared" si="5"/>
        <v>0</v>
      </c>
      <c r="K12">
        <f t="shared" si="6"/>
        <v>0</v>
      </c>
      <c r="L12">
        <f t="shared" si="7"/>
        <v>0</v>
      </c>
      <c r="M12">
        <f t="shared" si="8"/>
        <v>0</v>
      </c>
      <c r="N12">
        <f t="shared" si="9"/>
        <v>0</v>
      </c>
      <c r="O12">
        <f t="shared" si="10"/>
        <v>0</v>
      </c>
      <c r="P12">
        <f t="shared" si="11"/>
        <v>0</v>
      </c>
      <c r="Q12">
        <f t="shared" si="12"/>
        <v>0</v>
      </c>
      <c r="R12">
        <f t="shared" si="13"/>
        <v>0</v>
      </c>
      <c r="S12">
        <f t="shared" si="14"/>
        <v>0</v>
      </c>
      <c r="T12">
        <f t="shared" si="15"/>
        <v>1</v>
      </c>
      <c r="Z12" t="s">
        <v>15</v>
      </c>
      <c r="AA12">
        <v>4</v>
      </c>
      <c r="AB12">
        <v>0.39329213425780063</v>
      </c>
      <c r="AC12">
        <v>9.8323033564450157E-2</v>
      </c>
      <c r="AD12">
        <v>1.8189059765097728</v>
      </c>
      <c r="AE12">
        <v>0.14137741902451134</v>
      </c>
      <c r="AK12" t="s">
        <v>15</v>
      </c>
      <c r="AL12">
        <v>12</v>
      </c>
      <c r="AM12">
        <v>1.1056698431372545</v>
      </c>
      <c r="AN12">
        <v>9.2139153594771206E-2</v>
      </c>
      <c r="AO12">
        <v>1.9734407773706519</v>
      </c>
      <c r="AP12">
        <v>5.549835811311131E-2</v>
      </c>
    </row>
    <row r="13" spans="1:45" x14ac:dyDescent="0.2">
      <c r="A13" s="7">
        <v>44166</v>
      </c>
      <c r="B13">
        <v>5.67</v>
      </c>
      <c r="C13">
        <f t="shared" si="0"/>
        <v>4</v>
      </c>
      <c r="D13">
        <v>12</v>
      </c>
      <c r="E13">
        <f t="shared" si="1"/>
        <v>0</v>
      </c>
      <c r="F13">
        <f t="shared" si="2"/>
        <v>0</v>
      </c>
      <c r="G13">
        <f t="shared" si="3"/>
        <v>0</v>
      </c>
      <c r="H13">
        <f t="shared" si="4"/>
        <v>12</v>
      </c>
      <c r="I13">
        <v>12</v>
      </c>
      <c r="J13">
        <f t="shared" si="5"/>
        <v>0</v>
      </c>
      <c r="K13">
        <f t="shared" si="6"/>
        <v>0</v>
      </c>
      <c r="L13">
        <f t="shared" si="7"/>
        <v>0</v>
      </c>
      <c r="M13">
        <f t="shared" si="8"/>
        <v>0</v>
      </c>
      <c r="N13">
        <f t="shared" si="9"/>
        <v>0</v>
      </c>
      <c r="O13">
        <f t="shared" si="10"/>
        <v>0</v>
      </c>
      <c r="P13">
        <f t="shared" si="11"/>
        <v>0</v>
      </c>
      <c r="Q13">
        <f t="shared" si="12"/>
        <v>0</v>
      </c>
      <c r="R13">
        <f t="shared" si="13"/>
        <v>0</v>
      </c>
      <c r="S13">
        <f t="shared" si="14"/>
        <v>0</v>
      </c>
      <c r="T13">
        <f t="shared" si="15"/>
        <v>0</v>
      </c>
      <c r="Z13" t="s">
        <v>16</v>
      </c>
      <c r="AA13">
        <v>46</v>
      </c>
      <c r="AB13" s="1">
        <v>2.4865823755461207</v>
      </c>
      <c r="AC13">
        <v>5.4056138598828712E-2</v>
      </c>
      <c r="AK13" t="s">
        <v>16</v>
      </c>
      <c r="AL13">
        <v>38</v>
      </c>
      <c r="AM13" s="1">
        <v>1.7742046666666669</v>
      </c>
      <c r="AN13">
        <v>4.6689596491228079E-2</v>
      </c>
    </row>
    <row r="14" spans="1:45" ht="16" thickBot="1" x14ac:dyDescent="0.25">
      <c r="A14" s="7">
        <v>44197</v>
      </c>
      <c r="B14">
        <v>5.33</v>
      </c>
      <c r="C14">
        <f t="shared" si="0"/>
        <v>1</v>
      </c>
      <c r="D14">
        <v>13</v>
      </c>
      <c r="E14">
        <f t="shared" si="1"/>
        <v>1</v>
      </c>
      <c r="F14">
        <f t="shared" si="2"/>
        <v>0</v>
      </c>
      <c r="G14">
        <f t="shared" si="3"/>
        <v>0</v>
      </c>
      <c r="H14">
        <f t="shared" si="4"/>
        <v>1</v>
      </c>
      <c r="I14">
        <v>13</v>
      </c>
      <c r="J14">
        <f t="shared" si="5"/>
        <v>1</v>
      </c>
      <c r="K14">
        <f t="shared" si="6"/>
        <v>0</v>
      </c>
      <c r="L14">
        <f t="shared" si="7"/>
        <v>0</v>
      </c>
      <c r="M14">
        <f t="shared" si="8"/>
        <v>0</v>
      </c>
      <c r="N14">
        <f t="shared" si="9"/>
        <v>0</v>
      </c>
      <c r="O14">
        <f t="shared" si="10"/>
        <v>0</v>
      </c>
      <c r="P14">
        <f t="shared" si="11"/>
        <v>0</v>
      </c>
      <c r="Q14">
        <f t="shared" si="12"/>
        <v>0</v>
      </c>
      <c r="R14">
        <f t="shared" si="13"/>
        <v>0</v>
      </c>
      <c r="S14">
        <f t="shared" si="14"/>
        <v>0</v>
      </c>
      <c r="T14">
        <f t="shared" si="15"/>
        <v>0</v>
      </c>
      <c r="Z14" s="2" t="s">
        <v>17</v>
      </c>
      <c r="AA14" s="2">
        <v>50</v>
      </c>
      <c r="AB14" s="2">
        <v>2.8798745098039213</v>
      </c>
      <c r="AC14" s="2"/>
      <c r="AD14" s="2"/>
      <c r="AE14" s="2"/>
      <c r="AK14" s="2" t="s">
        <v>17</v>
      </c>
      <c r="AL14" s="2">
        <v>50</v>
      </c>
      <c r="AM14" s="2">
        <v>2.8798745098039213</v>
      </c>
      <c r="AN14" s="2"/>
      <c r="AO14" s="2"/>
      <c r="AP14" s="2"/>
    </row>
    <row r="15" spans="1:45" ht="16" thickBot="1" x14ac:dyDescent="0.25">
      <c r="A15" s="7">
        <v>44228</v>
      </c>
      <c r="B15">
        <v>5.49</v>
      </c>
      <c r="C15">
        <f t="shared" si="0"/>
        <v>1</v>
      </c>
      <c r="D15">
        <v>14</v>
      </c>
      <c r="E15">
        <f t="shared" si="1"/>
        <v>1</v>
      </c>
      <c r="F15">
        <f t="shared" si="2"/>
        <v>0</v>
      </c>
      <c r="G15">
        <f t="shared" si="3"/>
        <v>0</v>
      </c>
      <c r="H15">
        <f t="shared" si="4"/>
        <v>2</v>
      </c>
      <c r="I15">
        <v>14</v>
      </c>
      <c r="J15">
        <f t="shared" si="5"/>
        <v>0</v>
      </c>
      <c r="K15">
        <f t="shared" si="6"/>
        <v>1</v>
      </c>
      <c r="L15">
        <f t="shared" si="7"/>
        <v>0</v>
      </c>
      <c r="M15">
        <f t="shared" si="8"/>
        <v>0</v>
      </c>
      <c r="N15">
        <f t="shared" si="9"/>
        <v>0</v>
      </c>
      <c r="O15">
        <f t="shared" si="10"/>
        <v>0</v>
      </c>
      <c r="P15">
        <f t="shared" si="11"/>
        <v>0</v>
      </c>
      <c r="Q15">
        <f t="shared" si="12"/>
        <v>0</v>
      </c>
      <c r="R15">
        <f t="shared" si="13"/>
        <v>0</v>
      </c>
      <c r="S15">
        <f t="shared" si="14"/>
        <v>0</v>
      </c>
      <c r="T15">
        <f t="shared" si="15"/>
        <v>0</v>
      </c>
    </row>
    <row r="16" spans="1:45" x14ac:dyDescent="0.2">
      <c r="A16" s="7">
        <v>44256</v>
      </c>
      <c r="B16">
        <v>5.39</v>
      </c>
      <c r="C16">
        <f t="shared" si="0"/>
        <v>1</v>
      </c>
      <c r="D16">
        <v>15</v>
      </c>
      <c r="E16">
        <f t="shared" si="1"/>
        <v>1</v>
      </c>
      <c r="F16">
        <f t="shared" si="2"/>
        <v>0</v>
      </c>
      <c r="G16">
        <f t="shared" si="3"/>
        <v>0</v>
      </c>
      <c r="H16">
        <f t="shared" si="4"/>
        <v>3</v>
      </c>
      <c r="I16">
        <v>15</v>
      </c>
      <c r="J16">
        <f t="shared" si="5"/>
        <v>0</v>
      </c>
      <c r="K16">
        <f t="shared" si="6"/>
        <v>0</v>
      </c>
      <c r="L16">
        <f t="shared" si="7"/>
        <v>1</v>
      </c>
      <c r="M16">
        <f t="shared" si="8"/>
        <v>0</v>
      </c>
      <c r="N16">
        <f t="shared" si="9"/>
        <v>0</v>
      </c>
      <c r="O16">
        <f t="shared" si="10"/>
        <v>0</v>
      </c>
      <c r="P16">
        <f t="shared" si="11"/>
        <v>0</v>
      </c>
      <c r="Q16">
        <f t="shared" si="12"/>
        <v>0</v>
      </c>
      <c r="R16">
        <f t="shared" si="13"/>
        <v>0</v>
      </c>
      <c r="S16">
        <f t="shared" si="14"/>
        <v>0</v>
      </c>
      <c r="T16">
        <f t="shared" si="15"/>
        <v>0</v>
      </c>
      <c r="Z16" s="3"/>
      <c r="AA16" s="3" t="s">
        <v>24</v>
      </c>
      <c r="AB16" s="3" t="s">
        <v>12</v>
      </c>
      <c r="AC16" s="3" t="s">
        <v>25</v>
      </c>
      <c r="AD16" s="3" t="s">
        <v>26</v>
      </c>
      <c r="AE16" s="3" t="s">
        <v>27</v>
      </c>
      <c r="AF16" s="3" t="s">
        <v>28</v>
      </c>
      <c r="AG16" s="3" t="s">
        <v>29</v>
      </c>
      <c r="AH16" s="3" t="s">
        <v>30</v>
      </c>
      <c r="AK16" s="3"/>
      <c r="AL16" s="3" t="s">
        <v>24</v>
      </c>
      <c r="AM16" s="3" t="s">
        <v>12</v>
      </c>
      <c r="AN16" s="3" t="s">
        <v>25</v>
      </c>
      <c r="AO16" s="3" t="s">
        <v>26</v>
      </c>
      <c r="AP16" s="3" t="s">
        <v>27</v>
      </c>
      <c r="AQ16" s="3" t="s">
        <v>28</v>
      </c>
      <c r="AR16" s="3" t="s">
        <v>29</v>
      </c>
      <c r="AS16" s="3" t="s">
        <v>30</v>
      </c>
    </row>
    <row r="17" spans="1:45" x14ac:dyDescent="0.2">
      <c r="A17" s="7">
        <v>44287</v>
      </c>
      <c r="B17">
        <v>5.46</v>
      </c>
      <c r="C17">
        <f t="shared" si="0"/>
        <v>2</v>
      </c>
      <c r="D17">
        <v>16</v>
      </c>
      <c r="E17">
        <f t="shared" si="1"/>
        <v>0</v>
      </c>
      <c r="F17">
        <f t="shared" si="2"/>
        <v>1</v>
      </c>
      <c r="G17">
        <f t="shared" si="3"/>
        <v>0</v>
      </c>
      <c r="H17">
        <f t="shared" si="4"/>
        <v>4</v>
      </c>
      <c r="I17">
        <v>16</v>
      </c>
      <c r="J17">
        <f t="shared" si="5"/>
        <v>0</v>
      </c>
      <c r="K17">
        <f t="shared" si="6"/>
        <v>0</v>
      </c>
      <c r="L17">
        <f t="shared" si="7"/>
        <v>0</v>
      </c>
      <c r="M17">
        <f t="shared" si="8"/>
        <v>1</v>
      </c>
      <c r="N17">
        <f t="shared" si="9"/>
        <v>0</v>
      </c>
      <c r="O17">
        <f t="shared" si="10"/>
        <v>0</v>
      </c>
      <c r="P17">
        <f t="shared" si="11"/>
        <v>0</v>
      </c>
      <c r="Q17">
        <f t="shared" si="12"/>
        <v>0</v>
      </c>
      <c r="R17">
        <f t="shared" si="13"/>
        <v>0</v>
      </c>
      <c r="S17">
        <f t="shared" si="14"/>
        <v>0</v>
      </c>
      <c r="T17">
        <f t="shared" si="15"/>
        <v>0</v>
      </c>
      <c r="Z17" t="s">
        <v>18</v>
      </c>
      <c r="AA17">
        <v>5.69387268475786</v>
      </c>
      <c r="AB17">
        <v>9.3278291216791431E-2</v>
      </c>
      <c r="AC17">
        <v>61.041777357654695</v>
      </c>
      <c r="AD17">
        <v>1.1292083720134378E-45</v>
      </c>
      <c r="AE17">
        <v>5.5061132228928553</v>
      </c>
      <c r="AF17">
        <v>5.8816321466228647</v>
      </c>
      <c r="AG17">
        <v>5.5061132228928553</v>
      </c>
      <c r="AH17">
        <v>5.8816321466228647</v>
      </c>
      <c r="AK17" t="s">
        <v>18</v>
      </c>
      <c r="AL17">
        <v>5.8826666666666645</v>
      </c>
      <c r="AM17">
        <v>0.12475255039641225</v>
      </c>
      <c r="AN17">
        <v>47.154680589486716</v>
      </c>
      <c r="AO17">
        <v>2.4820217587654438E-35</v>
      </c>
      <c r="AP17">
        <v>5.6301183317110333</v>
      </c>
      <c r="AQ17">
        <v>6.1352150016222957</v>
      </c>
      <c r="AR17">
        <v>5.6301183317110333</v>
      </c>
      <c r="AS17">
        <v>6.1352150016222957</v>
      </c>
    </row>
    <row r="18" spans="1:45" x14ac:dyDescent="0.2">
      <c r="A18" s="7">
        <v>44317</v>
      </c>
      <c r="B18">
        <v>5.12</v>
      </c>
      <c r="C18">
        <f t="shared" si="0"/>
        <v>2</v>
      </c>
      <c r="D18">
        <v>17</v>
      </c>
      <c r="E18">
        <f t="shared" si="1"/>
        <v>0</v>
      </c>
      <c r="F18">
        <f t="shared" si="2"/>
        <v>1</v>
      </c>
      <c r="G18">
        <f t="shared" si="3"/>
        <v>0</v>
      </c>
      <c r="H18">
        <f t="shared" si="4"/>
        <v>5</v>
      </c>
      <c r="I18">
        <v>17</v>
      </c>
      <c r="J18">
        <f t="shared" si="5"/>
        <v>0</v>
      </c>
      <c r="K18">
        <f t="shared" si="6"/>
        <v>0</v>
      </c>
      <c r="L18">
        <f t="shared" si="7"/>
        <v>0</v>
      </c>
      <c r="M18">
        <f t="shared" si="8"/>
        <v>0</v>
      </c>
      <c r="N18">
        <f t="shared" si="9"/>
        <v>1</v>
      </c>
      <c r="O18">
        <f t="shared" si="10"/>
        <v>0</v>
      </c>
      <c r="P18">
        <f t="shared" si="11"/>
        <v>0</v>
      </c>
      <c r="Q18">
        <f t="shared" si="12"/>
        <v>0</v>
      </c>
      <c r="R18">
        <f t="shared" si="13"/>
        <v>0</v>
      </c>
      <c r="S18">
        <f t="shared" si="14"/>
        <v>0</v>
      </c>
      <c r="T18">
        <f t="shared" si="15"/>
        <v>0</v>
      </c>
      <c r="Z18" t="s">
        <v>3</v>
      </c>
      <c r="AA18">
        <v>-5.4208971755584307E-3</v>
      </c>
      <c r="AB18">
        <v>2.2337167151547702E-3</v>
      </c>
      <c r="AC18">
        <v>-2.4268507903352581</v>
      </c>
      <c r="AD18">
        <v>1.920620330514497E-2</v>
      </c>
      <c r="AE18">
        <v>-9.9171357207262327E-3</v>
      </c>
      <c r="AF18">
        <v>-9.246586303906278E-4</v>
      </c>
      <c r="AG18">
        <v>-9.9171357207262327E-3</v>
      </c>
      <c r="AH18">
        <v>-9.246586303906278E-4</v>
      </c>
      <c r="AK18" t="s">
        <v>3</v>
      </c>
      <c r="AL18">
        <v>-5.338888888888893E-3</v>
      </c>
      <c r="AM18">
        <v>2.079209173273536E-3</v>
      </c>
      <c r="AN18">
        <v>-2.5677497759801011</v>
      </c>
      <c r="AO18">
        <v>1.4293424592884395E-2</v>
      </c>
      <c r="AP18">
        <v>-9.548027804816072E-3</v>
      </c>
      <c r="AQ18">
        <v>-1.129749972961714E-3</v>
      </c>
      <c r="AR18">
        <v>-9.548027804816072E-3</v>
      </c>
      <c r="AS18">
        <v>-1.129749972961714E-3</v>
      </c>
    </row>
    <row r="19" spans="1:45" x14ac:dyDescent="0.2">
      <c r="A19" s="7">
        <v>44348</v>
      </c>
      <c r="B19">
        <v>5.58</v>
      </c>
      <c r="C19">
        <f t="shared" si="0"/>
        <v>2</v>
      </c>
      <c r="D19">
        <v>18</v>
      </c>
      <c r="E19">
        <f t="shared" si="1"/>
        <v>0</v>
      </c>
      <c r="F19">
        <f t="shared" si="2"/>
        <v>1</v>
      </c>
      <c r="G19">
        <f t="shared" si="3"/>
        <v>0</v>
      </c>
      <c r="H19">
        <f t="shared" si="4"/>
        <v>6</v>
      </c>
      <c r="I19">
        <v>18</v>
      </c>
      <c r="J19">
        <f t="shared" si="5"/>
        <v>0</v>
      </c>
      <c r="K19">
        <f t="shared" si="6"/>
        <v>0</v>
      </c>
      <c r="L19">
        <f t="shared" si="7"/>
        <v>0</v>
      </c>
      <c r="M19">
        <f t="shared" si="8"/>
        <v>0</v>
      </c>
      <c r="N19">
        <f t="shared" si="9"/>
        <v>0</v>
      </c>
      <c r="O19">
        <f t="shared" si="10"/>
        <v>1</v>
      </c>
      <c r="P19">
        <f t="shared" si="11"/>
        <v>0</v>
      </c>
      <c r="Q19">
        <f t="shared" si="12"/>
        <v>0</v>
      </c>
      <c r="R19">
        <f t="shared" si="13"/>
        <v>0</v>
      </c>
      <c r="S19">
        <f t="shared" si="14"/>
        <v>0</v>
      </c>
      <c r="T19">
        <f t="shared" si="15"/>
        <v>0</v>
      </c>
      <c r="Z19" t="s">
        <v>4</v>
      </c>
      <c r="AA19">
        <v>-0.11359602486000876</v>
      </c>
      <c r="AB19">
        <v>9.0295770682221707E-2</v>
      </c>
      <c r="AC19">
        <v>-1.2580436935389558</v>
      </c>
      <c r="AD19">
        <v>0.21472456456936839</v>
      </c>
      <c r="AE19">
        <v>-0.29535198426729092</v>
      </c>
      <c r="AF19">
        <v>6.8159934547273412E-2</v>
      </c>
      <c r="AG19">
        <v>-0.29535198426729092</v>
      </c>
      <c r="AH19">
        <v>6.8159934547273412E-2</v>
      </c>
      <c r="AK19" t="s">
        <v>36</v>
      </c>
      <c r="AL19">
        <v>-0.32119444444444445</v>
      </c>
      <c r="AM19">
        <v>0.14532169896718189</v>
      </c>
      <c r="AN19">
        <v>-2.2102304523495837</v>
      </c>
      <c r="AO19">
        <v>3.3184909526657827E-2</v>
      </c>
      <c r="AP19">
        <v>-0.6153828437233797</v>
      </c>
      <c r="AQ19">
        <v>-2.7006045165509251E-2</v>
      </c>
      <c r="AR19">
        <v>-0.6153828437233797</v>
      </c>
      <c r="AS19">
        <v>-2.7006045165509251E-2</v>
      </c>
    </row>
    <row r="20" spans="1:45" x14ac:dyDescent="0.2">
      <c r="A20" s="7">
        <v>44378</v>
      </c>
      <c r="B20">
        <v>5.84</v>
      </c>
      <c r="C20">
        <f t="shared" si="0"/>
        <v>3</v>
      </c>
      <c r="D20">
        <v>19</v>
      </c>
      <c r="E20">
        <f t="shared" si="1"/>
        <v>0</v>
      </c>
      <c r="F20">
        <f t="shared" si="2"/>
        <v>0</v>
      </c>
      <c r="G20">
        <f t="shared" si="3"/>
        <v>1</v>
      </c>
      <c r="H20">
        <f t="shared" si="4"/>
        <v>7</v>
      </c>
      <c r="I20">
        <v>19</v>
      </c>
      <c r="J20">
        <f t="shared" si="5"/>
        <v>0</v>
      </c>
      <c r="K20">
        <f t="shared" si="6"/>
        <v>0</v>
      </c>
      <c r="L20">
        <f t="shared" si="7"/>
        <v>0</v>
      </c>
      <c r="M20">
        <f t="shared" si="8"/>
        <v>0</v>
      </c>
      <c r="N20">
        <f t="shared" si="9"/>
        <v>0</v>
      </c>
      <c r="O20">
        <f t="shared" si="10"/>
        <v>0</v>
      </c>
      <c r="P20">
        <f t="shared" si="11"/>
        <v>1</v>
      </c>
      <c r="Q20">
        <f t="shared" si="12"/>
        <v>0</v>
      </c>
      <c r="R20">
        <f t="shared" si="13"/>
        <v>0</v>
      </c>
      <c r="S20">
        <f t="shared" si="14"/>
        <v>0</v>
      </c>
      <c r="T20">
        <f t="shared" si="15"/>
        <v>0</v>
      </c>
      <c r="Z20" t="s">
        <v>5</v>
      </c>
      <c r="AA20">
        <v>-0.1108587163866839</v>
      </c>
      <c r="AB20">
        <v>9.5859157550159738E-2</v>
      </c>
      <c r="AC20">
        <v>-1.1564749703613388</v>
      </c>
      <c r="AD20">
        <v>0.25345777094599303</v>
      </c>
      <c r="AE20">
        <v>-0.30381319273552465</v>
      </c>
      <c r="AF20">
        <v>8.2095759962156872E-2</v>
      </c>
      <c r="AG20">
        <v>-0.30381319273552465</v>
      </c>
      <c r="AH20">
        <v>8.2095759962156872E-2</v>
      </c>
      <c r="AK20" t="s">
        <v>37</v>
      </c>
      <c r="AL20">
        <v>-0.21785555555555566</v>
      </c>
      <c r="AM20">
        <v>0.14518776874665523</v>
      </c>
      <c r="AN20">
        <v>-1.500509012819818</v>
      </c>
      <c r="AO20">
        <v>0.14174641985127331</v>
      </c>
      <c r="AP20">
        <v>-0.51177282727768525</v>
      </c>
      <c r="AQ20">
        <v>7.6061716166573951E-2</v>
      </c>
      <c r="AR20">
        <v>-0.51177282727768525</v>
      </c>
      <c r="AS20">
        <v>7.6061716166573951E-2</v>
      </c>
    </row>
    <row r="21" spans="1:45" ht="16" thickBot="1" x14ac:dyDescent="0.25">
      <c r="A21" s="7">
        <v>44409</v>
      </c>
      <c r="B21">
        <v>5.55</v>
      </c>
      <c r="C21">
        <f t="shared" si="0"/>
        <v>3</v>
      </c>
      <c r="D21">
        <v>20</v>
      </c>
      <c r="E21">
        <f t="shared" si="1"/>
        <v>0</v>
      </c>
      <c r="F21">
        <f t="shared" si="2"/>
        <v>0</v>
      </c>
      <c r="G21">
        <f t="shared" si="3"/>
        <v>1</v>
      </c>
      <c r="H21">
        <f t="shared" si="4"/>
        <v>8</v>
      </c>
      <c r="I21">
        <v>20</v>
      </c>
      <c r="J21">
        <f t="shared" si="5"/>
        <v>0</v>
      </c>
      <c r="K21">
        <f t="shared" si="6"/>
        <v>0</v>
      </c>
      <c r="L21">
        <f t="shared" si="7"/>
        <v>0</v>
      </c>
      <c r="M21">
        <f t="shared" si="8"/>
        <v>0</v>
      </c>
      <c r="N21">
        <f t="shared" si="9"/>
        <v>0</v>
      </c>
      <c r="O21">
        <f t="shared" si="10"/>
        <v>0</v>
      </c>
      <c r="P21">
        <f t="shared" si="11"/>
        <v>0</v>
      </c>
      <c r="Q21">
        <f t="shared" si="12"/>
        <v>1</v>
      </c>
      <c r="R21">
        <f t="shared" si="13"/>
        <v>0</v>
      </c>
      <c r="S21">
        <f t="shared" si="14"/>
        <v>0</v>
      </c>
      <c r="T21">
        <f t="shared" si="15"/>
        <v>0</v>
      </c>
      <c r="Z21" s="2" t="s">
        <v>6</v>
      </c>
      <c r="AA21" s="2">
        <v>-5.0429358193342107E-2</v>
      </c>
      <c r="AB21" s="2">
        <v>9.5153885083112497E-2</v>
      </c>
      <c r="AC21" s="2">
        <v>-0.52997687009095218</v>
      </c>
      <c r="AD21" s="2">
        <v>0.59867694002125527</v>
      </c>
      <c r="AE21" s="2">
        <v>-0.24196419469722444</v>
      </c>
      <c r="AF21" s="2">
        <v>0.14110547831054024</v>
      </c>
      <c r="AG21" s="2">
        <v>-0.24196419469722444</v>
      </c>
      <c r="AH21" s="2">
        <v>0.14110547831054024</v>
      </c>
      <c r="AK21" t="s">
        <v>38</v>
      </c>
      <c r="AL21">
        <v>-0.37451666666666678</v>
      </c>
      <c r="AM21">
        <v>0.14508351532179201</v>
      </c>
      <c r="AN21">
        <v>-2.5813867677247631</v>
      </c>
      <c r="AO21">
        <v>1.3823340181983144E-2</v>
      </c>
      <c r="AP21">
        <v>-0.6682228883639354</v>
      </c>
      <c r="AQ21">
        <v>-8.0810444969398099E-2</v>
      </c>
      <c r="AR21">
        <v>-0.6682228883639354</v>
      </c>
      <c r="AS21">
        <v>-8.0810444969398099E-2</v>
      </c>
    </row>
    <row r="22" spans="1:45" x14ac:dyDescent="0.2">
      <c r="A22" s="7">
        <v>44440</v>
      </c>
      <c r="B22">
        <v>5.09</v>
      </c>
      <c r="C22">
        <f t="shared" si="0"/>
        <v>3</v>
      </c>
      <c r="D22">
        <v>21</v>
      </c>
      <c r="E22">
        <f t="shared" si="1"/>
        <v>0</v>
      </c>
      <c r="F22">
        <f t="shared" si="2"/>
        <v>0</v>
      </c>
      <c r="G22">
        <f t="shared" si="3"/>
        <v>1</v>
      </c>
      <c r="H22">
        <f t="shared" si="4"/>
        <v>9</v>
      </c>
      <c r="I22">
        <v>21</v>
      </c>
      <c r="J22">
        <f t="shared" si="5"/>
        <v>0</v>
      </c>
      <c r="K22">
        <f t="shared" si="6"/>
        <v>0</v>
      </c>
      <c r="L22">
        <f t="shared" si="7"/>
        <v>0</v>
      </c>
      <c r="M22">
        <f t="shared" si="8"/>
        <v>0</v>
      </c>
      <c r="N22">
        <f t="shared" si="9"/>
        <v>0</v>
      </c>
      <c r="O22">
        <f t="shared" si="10"/>
        <v>0</v>
      </c>
      <c r="P22">
        <f t="shared" si="11"/>
        <v>0</v>
      </c>
      <c r="Q22">
        <f t="shared" si="12"/>
        <v>0</v>
      </c>
      <c r="R22">
        <f t="shared" si="13"/>
        <v>1</v>
      </c>
      <c r="S22">
        <f t="shared" si="14"/>
        <v>0</v>
      </c>
      <c r="T22">
        <f t="shared" si="15"/>
        <v>0</v>
      </c>
      <c r="AK22" t="s">
        <v>39</v>
      </c>
      <c r="AL22">
        <v>-0.21021111111111113</v>
      </c>
      <c r="AM22">
        <v>0.15369280183512962</v>
      </c>
      <c r="AN22">
        <v>-1.3677355647183151</v>
      </c>
      <c r="AO22">
        <v>0.17942982228417939</v>
      </c>
      <c r="AP22">
        <v>-0.5213459221814265</v>
      </c>
      <c r="AQ22">
        <v>0.10092369995920425</v>
      </c>
      <c r="AR22">
        <v>-0.5213459221814265</v>
      </c>
      <c r="AS22">
        <v>0.10092369995920425</v>
      </c>
    </row>
    <row r="23" spans="1:45" x14ac:dyDescent="0.2">
      <c r="A23" s="7">
        <v>44470</v>
      </c>
      <c r="B23">
        <v>5.35</v>
      </c>
      <c r="C23">
        <f t="shared" si="0"/>
        <v>4</v>
      </c>
      <c r="D23">
        <v>22</v>
      </c>
      <c r="E23">
        <f t="shared" si="1"/>
        <v>0</v>
      </c>
      <c r="F23">
        <f t="shared" si="2"/>
        <v>0</v>
      </c>
      <c r="G23">
        <f t="shared" si="3"/>
        <v>0</v>
      </c>
      <c r="H23">
        <f t="shared" si="4"/>
        <v>10</v>
      </c>
      <c r="I23">
        <v>22</v>
      </c>
      <c r="J23">
        <f t="shared" si="5"/>
        <v>0</v>
      </c>
      <c r="K23">
        <f t="shared" si="6"/>
        <v>0</v>
      </c>
      <c r="L23">
        <f t="shared" si="7"/>
        <v>0</v>
      </c>
      <c r="M23">
        <f t="shared" si="8"/>
        <v>0</v>
      </c>
      <c r="N23">
        <f t="shared" si="9"/>
        <v>0</v>
      </c>
      <c r="O23">
        <f t="shared" si="10"/>
        <v>0</v>
      </c>
      <c r="P23">
        <f t="shared" si="11"/>
        <v>0</v>
      </c>
      <c r="Q23">
        <f t="shared" si="12"/>
        <v>0</v>
      </c>
      <c r="R23">
        <f t="shared" si="13"/>
        <v>0</v>
      </c>
      <c r="S23">
        <f t="shared" si="14"/>
        <v>1</v>
      </c>
      <c r="T23">
        <f t="shared" si="15"/>
        <v>0</v>
      </c>
      <c r="AK23" t="s">
        <v>40</v>
      </c>
      <c r="AL23">
        <v>-0.35237222222222236</v>
      </c>
      <c r="AM23">
        <v>0.15348169491551444</v>
      </c>
      <c r="AN23">
        <v>-2.2958582938257832</v>
      </c>
      <c r="AO23">
        <v>2.7292301245860639E-2</v>
      </c>
      <c r="AP23">
        <v>-0.66307966967650733</v>
      </c>
      <c r="AQ23">
        <v>-4.1664774767937396E-2</v>
      </c>
      <c r="AR23">
        <v>-0.66307966967650733</v>
      </c>
      <c r="AS23">
        <v>-4.1664774767937396E-2</v>
      </c>
    </row>
    <row r="24" spans="1:45" x14ac:dyDescent="0.2">
      <c r="A24" s="7">
        <v>44501</v>
      </c>
      <c r="B24">
        <v>5.43</v>
      </c>
      <c r="C24">
        <f t="shared" si="0"/>
        <v>4</v>
      </c>
      <c r="D24">
        <v>23</v>
      </c>
      <c r="E24">
        <f t="shared" si="1"/>
        <v>0</v>
      </c>
      <c r="F24">
        <f t="shared" si="2"/>
        <v>0</v>
      </c>
      <c r="G24">
        <f t="shared" si="3"/>
        <v>0</v>
      </c>
      <c r="H24">
        <f t="shared" si="4"/>
        <v>11</v>
      </c>
      <c r="I24">
        <v>23</v>
      </c>
      <c r="J24">
        <f t="shared" si="5"/>
        <v>0</v>
      </c>
      <c r="K24">
        <f t="shared" si="6"/>
        <v>0</v>
      </c>
      <c r="L24">
        <f t="shared" si="7"/>
        <v>0</v>
      </c>
      <c r="M24">
        <f t="shared" si="8"/>
        <v>0</v>
      </c>
      <c r="N24">
        <f t="shared" si="9"/>
        <v>0</v>
      </c>
      <c r="O24">
        <f t="shared" si="10"/>
        <v>0</v>
      </c>
      <c r="P24">
        <f t="shared" si="11"/>
        <v>0</v>
      </c>
      <c r="Q24">
        <f t="shared" si="12"/>
        <v>0</v>
      </c>
      <c r="R24">
        <f t="shared" si="13"/>
        <v>0</v>
      </c>
      <c r="S24">
        <f t="shared" si="14"/>
        <v>0</v>
      </c>
      <c r="T24">
        <f t="shared" si="15"/>
        <v>1</v>
      </c>
      <c r="AK24" t="s">
        <v>41</v>
      </c>
      <c r="AL24">
        <v>-0.34203333333333336</v>
      </c>
      <c r="AM24">
        <v>0.1532985004294502</v>
      </c>
      <c r="AN24">
        <v>-2.2311590287912906</v>
      </c>
      <c r="AO24">
        <v>3.1648526742367102E-2</v>
      </c>
      <c r="AP24">
        <v>-0.65236992293916907</v>
      </c>
      <c r="AQ24">
        <v>-3.16967437274977E-2</v>
      </c>
      <c r="AR24">
        <v>-0.65236992293916907</v>
      </c>
      <c r="AS24">
        <v>-3.16967437274977E-2</v>
      </c>
    </row>
    <row r="25" spans="1:45" x14ac:dyDescent="0.2">
      <c r="A25" s="7">
        <v>44531</v>
      </c>
      <c r="B25">
        <v>5.82</v>
      </c>
      <c r="C25">
        <f t="shared" si="0"/>
        <v>4</v>
      </c>
      <c r="D25">
        <v>24</v>
      </c>
      <c r="E25">
        <f t="shared" si="1"/>
        <v>0</v>
      </c>
      <c r="F25">
        <f t="shared" si="2"/>
        <v>0</v>
      </c>
      <c r="G25">
        <f t="shared" si="3"/>
        <v>0</v>
      </c>
      <c r="H25">
        <f t="shared" si="4"/>
        <v>12</v>
      </c>
      <c r="I25">
        <v>24</v>
      </c>
      <c r="J25">
        <f t="shared" si="5"/>
        <v>0</v>
      </c>
      <c r="K25">
        <f t="shared" si="6"/>
        <v>0</v>
      </c>
      <c r="L25">
        <f t="shared" si="7"/>
        <v>0</v>
      </c>
      <c r="M25">
        <f t="shared" si="8"/>
        <v>0</v>
      </c>
      <c r="N25">
        <f t="shared" si="9"/>
        <v>0</v>
      </c>
      <c r="O25">
        <f t="shared" si="10"/>
        <v>0</v>
      </c>
      <c r="P25">
        <f t="shared" si="11"/>
        <v>0</v>
      </c>
      <c r="Q25">
        <f t="shared" si="12"/>
        <v>0</v>
      </c>
      <c r="R25">
        <f t="shared" si="13"/>
        <v>0</v>
      </c>
      <c r="S25">
        <f t="shared" si="14"/>
        <v>0</v>
      </c>
      <c r="T25">
        <f t="shared" si="15"/>
        <v>0</v>
      </c>
      <c r="Z25" t="s">
        <v>31</v>
      </c>
      <c r="AK25" t="s">
        <v>42</v>
      </c>
      <c r="AL25">
        <v>-2.1694444444444551E-2</v>
      </c>
      <c r="AM25">
        <v>0.15314331854596089</v>
      </c>
      <c r="AN25">
        <v>-0.14166105743577498</v>
      </c>
      <c r="AO25">
        <v>0.88809611469859961</v>
      </c>
      <c r="AP25">
        <v>-0.33171688475099959</v>
      </c>
      <c r="AQ25">
        <v>0.28832799586211044</v>
      </c>
      <c r="AR25">
        <v>-0.33171688475099959</v>
      </c>
      <c r="AS25">
        <v>0.28832799586211044</v>
      </c>
    </row>
    <row r="26" spans="1:45" ht="16" thickBot="1" x14ac:dyDescent="0.25">
      <c r="A26" s="7">
        <v>44562</v>
      </c>
      <c r="B26">
        <v>5.26</v>
      </c>
      <c r="C26">
        <f t="shared" si="0"/>
        <v>1</v>
      </c>
      <c r="D26">
        <v>25</v>
      </c>
      <c r="E26">
        <f t="shared" si="1"/>
        <v>1</v>
      </c>
      <c r="F26">
        <f t="shared" si="2"/>
        <v>0</v>
      </c>
      <c r="G26">
        <f t="shared" si="3"/>
        <v>0</v>
      </c>
      <c r="H26">
        <f t="shared" si="4"/>
        <v>1</v>
      </c>
      <c r="I26">
        <v>25</v>
      </c>
      <c r="J26">
        <f t="shared" si="5"/>
        <v>1</v>
      </c>
      <c r="K26">
        <f t="shared" si="6"/>
        <v>0</v>
      </c>
      <c r="L26">
        <f t="shared" si="7"/>
        <v>0</v>
      </c>
      <c r="M26">
        <f t="shared" si="8"/>
        <v>0</v>
      </c>
      <c r="N26">
        <f t="shared" si="9"/>
        <v>0</v>
      </c>
      <c r="O26">
        <f t="shared" si="10"/>
        <v>0</v>
      </c>
      <c r="P26">
        <f t="shared" si="11"/>
        <v>0</v>
      </c>
      <c r="Q26">
        <f t="shared" si="12"/>
        <v>0</v>
      </c>
      <c r="R26">
        <f t="shared" si="13"/>
        <v>0</v>
      </c>
      <c r="S26">
        <f t="shared" si="14"/>
        <v>0</v>
      </c>
      <c r="T26">
        <f t="shared" si="15"/>
        <v>0</v>
      </c>
      <c r="AK26" t="s">
        <v>43</v>
      </c>
      <c r="AL26">
        <v>-0.28635555555555547</v>
      </c>
      <c r="AM26">
        <v>0.15301623449227092</v>
      </c>
      <c r="AN26">
        <v>-1.871406367472856</v>
      </c>
      <c r="AO26">
        <v>6.9002398303371806E-2</v>
      </c>
      <c r="AP26">
        <v>-0.59612072764549429</v>
      </c>
      <c r="AQ26">
        <v>2.3409616534383282E-2</v>
      </c>
      <c r="AR26">
        <v>-0.59612072764549429</v>
      </c>
      <c r="AS26">
        <v>2.3409616534383282E-2</v>
      </c>
    </row>
    <row r="27" spans="1:45" x14ac:dyDescent="0.2">
      <c r="A27" s="7">
        <v>44593</v>
      </c>
      <c r="B27">
        <v>5.42</v>
      </c>
      <c r="C27">
        <f t="shared" si="0"/>
        <v>1</v>
      </c>
      <c r="D27">
        <v>26</v>
      </c>
      <c r="E27">
        <f t="shared" si="1"/>
        <v>1</v>
      </c>
      <c r="F27">
        <f t="shared" si="2"/>
        <v>0</v>
      </c>
      <c r="G27">
        <f t="shared" si="3"/>
        <v>0</v>
      </c>
      <c r="H27">
        <f t="shared" si="4"/>
        <v>2</v>
      </c>
      <c r="I27">
        <v>26</v>
      </c>
      <c r="J27">
        <f t="shared" si="5"/>
        <v>0</v>
      </c>
      <c r="K27">
        <f t="shared" si="6"/>
        <v>1</v>
      </c>
      <c r="L27">
        <f t="shared" si="7"/>
        <v>0</v>
      </c>
      <c r="M27">
        <f t="shared" si="8"/>
        <v>0</v>
      </c>
      <c r="N27">
        <f t="shared" si="9"/>
        <v>0</v>
      </c>
      <c r="O27">
        <f t="shared" si="10"/>
        <v>0</v>
      </c>
      <c r="P27">
        <f t="shared" si="11"/>
        <v>0</v>
      </c>
      <c r="Q27">
        <f t="shared" si="12"/>
        <v>0</v>
      </c>
      <c r="R27">
        <f t="shared" si="13"/>
        <v>0</v>
      </c>
      <c r="S27">
        <f t="shared" si="14"/>
        <v>0</v>
      </c>
      <c r="T27">
        <f t="shared" si="15"/>
        <v>0</v>
      </c>
      <c r="Z27" s="3" t="s">
        <v>32</v>
      </c>
      <c r="AA27" s="3" t="s">
        <v>51</v>
      </c>
      <c r="AB27" s="3" t="s">
        <v>34</v>
      </c>
      <c r="AK27" t="s">
        <v>44</v>
      </c>
      <c r="AL27">
        <v>-0.41601666666666709</v>
      </c>
      <c r="AM27">
        <v>0.15291731832166711</v>
      </c>
      <c r="AN27">
        <v>-2.7205333655640036</v>
      </c>
      <c r="AO27">
        <v>9.7763019440177974E-3</v>
      </c>
      <c r="AP27">
        <v>-0.7255815934381189</v>
      </c>
      <c r="AQ27">
        <v>-0.10645173989521522</v>
      </c>
      <c r="AR27">
        <v>-0.7255815934381189</v>
      </c>
      <c r="AS27">
        <v>-0.10645173989521522</v>
      </c>
    </row>
    <row r="28" spans="1:45" x14ac:dyDescent="0.2">
      <c r="A28" s="7">
        <v>44621</v>
      </c>
      <c r="B28">
        <v>5.13</v>
      </c>
      <c r="C28">
        <f t="shared" si="0"/>
        <v>1</v>
      </c>
      <c r="D28">
        <v>27</v>
      </c>
      <c r="E28">
        <f t="shared" si="1"/>
        <v>1</v>
      </c>
      <c r="F28">
        <f t="shared" si="2"/>
        <v>0</v>
      </c>
      <c r="G28">
        <f t="shared" si="3"/>
        <v>0</v>
      </c>
      <c r="H28">
        <f t="shared" si="4"/>
        <v>3</v>
      </c>
      <c r="I28">
        <v>27</v>
      </c>
      <c r="J28">
        <f t="shared" si="5"/>
        <v>0</v>
      </c>
      <c r="K28">
        <f t="shared" si="6"/>
        <v>0</v>
      </c>
      <c r="L28">
        <f t="shared" si="7"/>
        <v>1</v>
      </c>
      <c r="M28">
        <f t="shared" si="8"/>
        <v>0</v>
      </c>
      <c r="N28">
        <f t="shared" si="9"/>
        <v>0</v>
      </c>
      <c r="O28">
        <f t="shared" si="10"/>
        <v>0</v>
      </c>
      <c r="P28">
        <f t="shared" si="11"/>
        <v>0</v>
      </c>
      <c r="Q28">
        <f t="shared" si="12"/>
        <v>0</v>
      </c>
      <c r="R28">
        <f t="shared" si="13"/>
        <v>0</v>
      </c>
      <c r="S28">
        <f t="shared" si="14"/>
        <v>0</v>
      </c>
      <c r="T28">
        <f t="shared" si="15"/>
        <v>0</v>
      </c>
      <c r="Z28">
        <v>1</v>
      </c>
      <c r="AA28">
        <v>5.5748557627222928</v>
      </c>
      <c r="AB28">
        <v>-0.16485576272229263</v>
      </c>
      <c r="AK28" t="s">
        <v>45</v>
      </c>
      <c r="AL28">
        <v>-0.37067777777777783</v>
      </c>
      <c r="AM28">
        <v>0.15284662472151272</v>
      </c>
      <c r="AN28">
        <v>-2.4251616838327603</v>
      </c>
      <c r="AO28">
        <v>2.0162568539183495E-2</v>
      </c>
      <c r="AP28">
        <v>-0.6800995928376512</v>
      </c>
      <c r="AQ28">
        <v>-6.12559627179044E-2</v>
      </c>
      <c r="AR28">
        <v>-0.6800995928376512</v>
      </c>
      <c r="AS28">
        <v>-6.12559627179044E-2</v>
      </c>
    </row>
    <row r="29" spans="1:45" ht="16" thickBot="1" x14ac:dyDescent="0.25">
      <c r="A29" s="7">
        <v>44652</v>
      </c>
      <c r="B29">
        <v>5.54</v>
      </c>
      <c r="C29">
        <f t="shared" si="0"/>
        <v>2</v>
      </c>
      <c r="D29">
        <v>28</v>
      </c>
      <c r="E29">
        <f t="shared" si="1"/>
        <v>0</v>
      </c>
      <c r="F29">
        <f t="shared" si="2"/>
        <v>1</v>
      </c>
      <c r="G29">
        <f t="shared" si="3"/>
        <v>0</v>
      </c>
      <c r="H29">
        <f t="shared" si="4"/>
        <v>4</v>
      </c>
      <c r="I29">
        <v>28</v>
      </c>
      <c r="J29">
        <f t="shared" si="5"/>
        <v>0</v>
      </c>
      <c r="K29">
        <f t="shared" si="6"/>
        <v>0</v>
      </c>
      <c r="L29">
        <f t="shared" si="7"/>
        <v>0</v>
      </c>
      <c r="M29">
        <f t="shared" si="8"/>
        <v>1</v>
      </c>
      <c r="N29">
        <f t="shared" si="9"/>
        <v>0</v>
      </c>
      <c r="O29">
        <f t="shared" si="10"/>
        <v>0</v>
      </c>
      <c r="P29">
        <f t="shared" si="11"/>
        <v>0</v>
      </c>
      <c r="Q29">
        <f t="shared" si="12"/>
        <v>0</v>
      </c>
      <c r="R29">
        <f t="shared" si="13"/>
        <v>0</v>
      </c>
      <c r="S29">
        <f t="shared" si="14"/>
        <v>0</v>
      </c>
      <c r="T29">
        <f t="shared" si="15"/>
        <v>0</v>
      </c>
      <c r="Z29">
        <v>2</v>
      </c>
      <c r="AA29">
        <v>5.5694348655467349</v>
      </c>
      <c r="AB29">
        <v>0.11056513445326477</v>
      </c>
      <c r="AK29" s="2" t="s">
        <v>46</v>
      </c>
      <c r="AL29" s="2">
        <v>-0.20283888888888887</v>
      </c>
      <c r="AM29" s="2">
        <v>0.15280419286263139</v>
      </c>
      <c r="AN29" s="2">
        <v>-1.3274432140172876</v>
      </c>
      <c r="AO29" s="2">
        <v>0.19228232853547622</v>
      </c>
      <c r="AP29" s="2">
        <v>-0.512174805141279</v>
      </c>
      <c r="AQ29" s="2">
        <v>0.10649702736350122</v>
      </c>
      <c r="AR29" s="2">
        <v>-0.512174805141279</v>
      </c>
      <c r="AS29" s="2">
        <v>0.10649702736350122</v>
      </c>
    </row>
    <row r="30" spans="1:45" x14ac:dyDescent="0.2">
      <c r="A30" s="7">
        <v>44682</v>
      </c>
      <c r="B30">
        <v>5.66</v>
      </c>
      <c r="C30">
        <f t="shared" si="0"/>
        <v>2</v>
      </c>
      <c r="D30">
        <v>29</v>
      </c>
      <c r="E30">
        <f t="shared" si="1"/>
        <v>0</v>
      </c>
      <c r="F30">
        <f t="shared" si="2"/>
        <v>1</v>
      </c>
      <c r="G30">
        <f t="shared" si="3"/>
        <v>0</v>
      </c>
      <c r="H30">
        <f t="shared" si="4"/>
        <v>5</v>
      </c>
      <c r="I30">
        <v>29</v>
      </c>
      <c r="J30">
        <f t="shared" si="5"/>
        <v>0</v>
      </c>
      <c r="K30">
        <f t="shared" si="6"/>
        <v>0</v>
      </c>
      <c r="L30">
        <f t="shared" si="7"/>
        <v>0</v>
      </c>
      <c r="M30">
        <f t="shared" si="8"/>
        <v>0</v>
      </c>
      <c r="N30">
        <f t="shared" si="9"/>
        <v>1</v>
      </c>
      <c r="O30">
        <f t="shared" si="10"/>
        <v>0</v>
      </c>
      <c r="P30">
        <f t="shared" si="11"/>
        <v>0</v>
      </c>
      <c r="Q30">
        <f t="shared" si="12"/>
        <v>0</v>
      </c>
      <c r="R30">
        <f t="shared" si="13"/>
        <v>0</v>
      </c>
      <c r="S30">
        <f t="shared" si="14"/>
        <v>0</v>
      </c>
      <c r="T30">
        <f t="shared" si="15"/>
        <v>0</v>
      </c>
      <c r="Z30">
        <v>3</v>
      </c>
      <c r="AA30">
        <v>5.5640139683711762</v>
      </c>
      <c r="AB30">
        <v>0.25598603162882405</v>
      </c>
    </row>
    <row r="31" spans="1:45" x14ac:dyDescent="0.2">
      <c r="A31" s="7">
        <v>44713</v>
      </c>
      <c r="B31">
        <v>5.44</v>
      </c>
      <c r="C31">
        <f t="shared" si="0"/>
        <v>2</v>
      </c>
      <c r="D31">
        <v>30</v>
      </c>
      <c r="E31">
        <f t="shared" si="1"/>
        <v>0</v>
      </c>
      <c r="F31">
        <f t="shared" si="2"/>
        <v>1</v>
      </c>
      <c r="G31">
        <f t="shared" si="3"/>
        <v>0</v>
      </c>
      <c r="H31">
        <f t="shared" si="4"/>
        <v>6</v>
      </c>
      <c r="I31">
        <v>30</v>
      </c>
      <c r="J31">
        <f t="shared" si="5"/>
        <v>0</v>
      </c>
      <c r="K31">
        <f t="shared" si="6"/>
        <v>0</v>
      </c>
      <c r="L31">
        <f t="shared" si="7"/>
        <v>0</v>
      </c>
      <c r="M31">
        <f t="shared" si="8"/>
        <v>0</v>
      </c>
      <c r="N31">
        <f t="shared" si="9"/>
        <v>0</v>
      </c>
      <c r="O31">
        <f t="shared" si="10"/>
        <v>1</v>
      </c>
      <c r="P31">
        <f t="shared" si="11"/>
        <v>0</v>
      </c>
      <c r="Q31">
        <f t="shared" si="12"/>
        <v>0</v>
      </c>
      <c r="R31">
        <f t="shared" si="13"/>
        <v>0</v>
      </c>
      <c r="S31">
        <f t="shared" si="14"/>
        <v>0</v>
      </c>
      <c r="T31">
        <f t="shared" si="15"/>
        <v>0</v>
      </c>
      <c r="Z31">
        <v>4</v>
      </c>
      <c r="AA31">
        <v>5.5613303796689424</v>
      </c>
      <c r="AB31">
        <v>9.866962033105775E-2</v>
      </c>
    </row>
    <row r="32" spans="1:45" x14ac:dyDescent="0.2">
      <c r="A32" s="7">
        <v>44743</v>
      </c>
      <c r="B32">
        <v>5.81</v>
      </c>
      <c r="C32">
        <f t="shared" si="0"/>
        <v>3</v>
      </c>
      <c r="D32">
        <v>31</v>
      </c>
      <c r="E32">
        <f t="shared" si="1"/>
        <v>0</v>
      </c>
      <c r="F32">
        <f t="shared" si="2"/>
        <v>0</v>
      </c>
      <c r="G32">
        <f t="shared" si="3"/>
        <v>1</v>
      </c>
      <c r="H32">
        <f t="shared" si="4"/>
        <v>7</v>
      </c>
      <c r="I32">
        <v>31</v>
      </c>
      <c r="J32">
        <f t="shared" si="5"/>
        <v>0</v>
      </c>
      <c r="K32">
        <f t="shared" si="6"/>
        <v>0</v>
      </c>
      <c r="L32">
        <f t="shared" si="7"/>
        <v>0</v>
      </c>
      <c r="M32">
        <f t="shared" si="8"/>
        <v>0</v>
      </c>
      <c r="N32">
        <f t="shared" si="9"/>
        <v>0</v>
      </c>
      <c r="O32">
        <f t="shared" si="10"/>
        <v>0</v>
      </c>
      <c r="P32">
        <f t="shared" si="11"/>
        <v>1</v>
      </c>
      <c r="Q32">
        <f t="shared" si="12"/>
        <v>0</v>
      </c>
      <c r="R32">
        <f t="shared" si="13"/>
        <v>0</v>
      </c>
      <c r="S32">
        <f t="shared" si="14"/>
        <v>0</v>
      </c>
      <c r="T32">
        <f t="shared" si="15"/>
        <v>0</v>
      </c>
      <c r="Z32">
        <v>5</v>
      </c>
      <c r="AA32">
        <v>5.5559094824933846</v>
      </c>
      <c r="AB32">
        <v>0.20409051750661522</v>
      </c>
    </row>
    <row r="33" spans="1:39" x14ac:dyDescent="0.2">
      <c r="A33" s="7">
        <v>44774</v>
      </c>
      <c r="B33">
        <v>5.36</v>
      </c>
      <c r="C33">
        <f t="shared" si="0"/>
        <v>3</v>
      </c>
      <c r="D33">
        <v>32</v>
      </c>
      <c r="E33">
        <f t="shared" si="1"/>
        <v>0</v>
      </c>
      <c r="F33">
        <f t="shared" si="2"/>
        <v>0</v>
      </c>
      <c r="G33">
        <f t="shared" si="3"/>
        <v>1</v>
      </c>
      <c r="H33">
        <f t="shared" si="4"/>
        <v>8</v>
      </c>
      <c r="I33">
        <v>32</v>
      </c>
      <c r="J33">
        <f t="shared" si="5"/>
        <v>0</v>
      </c>
      <c r="K33">
        <f t="shared" si="6"/>
        <v>0</v>
      </c>
      <c r="L33">
        <f t="shared" si="7"/>
        <v>0</v>
      </c>
      <c r="M33">
        <f t="shared" si="8"/>
        <v>0</v>
      </c>
      <c r="N33">
        <f t="shared" si="9"/>
        <v>0</v>
      </c>
      <c r="O33">
        <f t="shared" si="10"/>
        <v>0</v>
      </c>
      <c r="P33">
        <f t="shared" si="11"/>
        <v>0</v>
      </c>
      <c r="Q33">
        <f t="shared" si="12"/>
        <v>1</v>
      </c>
      <c r="R33">
        <f t="shared" si="13"/>
        <v>0</v>
      </c>
      <c r="S33">
        <f t="shared" si="14"/>
        <v>0</v>
      </c>
      <c r="T33">
        <f t="shared" si="15"/>
        <v>0</v>
      </c>
      <c r="Z33">
        <v>6</v>
      </c>
      <c r="AA33">
        <v>5.5504885853178259</v>
      </c>
      <c r="AB33">
        <v>-0.14048858531782571</v>
      </c>
      <c r="AK33" t="s">
        <v>31</v>
      </c>
    </row>
    <row r="34" spans="1:39" ht="16" thickBot="1" x14ac:dyDescent="0.25">
      <c r="A34" s="7">
        <v>44805</v>
      </c>
      <c r="B34">
        <v>5.76</v>
      </c>
      <c r="C34">
        <f t="shared" si="0"/>
        <v>3</v>
      </c>
      <c r="D34">
        <v>33</v>
      </c>
      <c r="E34">
        <f t="shared" si="1"/>
        <v>0</v>
      </c>
      <c r="F34">
        <f t="shared" si="2"/>
        <v>0</v>
      </c>
      <c r="G34">
        <f t="shared" si="3"/>
        <v>1</v>
      </c>
      <c r="H34">
        <f t="shared" si="4"/>
        <v>9</v>
      </c>
      <c r="I34">
        <v>33</v>
      </c>
      <c r="J34">
        <f t="shared" si="5"/>
        <v>0</v>
      </c>
      <c r="K34">
        <f t="shared" si="6"/>
        <v>0</v>
      </c>
      <c r="L34">
        <f t="shared" si="7"/>
        <v>0</v>
      </c>
      <c r="M34">
        <f t="shared" si="8"/>
        <v>0</v>
      </c>
      <c r="N34">
        <f t="shared" si="9"/>
        <v>0</v>
      </c>
      <c r="O34">
        <f t="shared" si="10"/>
        <v>0</v>
      </c>
      <c r="P34">
        <f t="shared" si="11"/>
        <v>0</v>
      </c>
      <c r="Q34">
        <f t="shared" si="12"/>
        <v>0</v>
      </c>
      <c r="R34">
        <f t="shared" si="13"/>
        <v>1</v>
      </c>
      <c r="S34">
        <f t="shared" si="14"/>
        <v>0</v>
      </c>
      <c r="T34">
        <f t="shared" si="15"/>
        <v>0</v>
      </c>
      <c r="Z34">
        <v>7</v>
      </c>
      <c r="AA34">
        <v>5.6054970463356089</v>
      </c>
      <c r="AB34">
        <v>0.32450295366439086</v>
      </c>
    </row>
    <row r="35" spans="1:39" x14ac:dyDescent="0.2">
      <c r="A35" s="7">
        <v>44835</v>
      </c>
      <c r="B35">
        <v>5.42</v>
      </c>
      <c r="C35">
        <f t="shared" si="0"/>
        <v>4</v>
      </c>
      <c r="D35">
        <v>34</v>
      </c>
      <c r="E35">
        <f t="shared" si="1"/>
        <v>0</v>
      </c>
      <c r="F35">
        <f t="shared" si="2"/>
        <v>0</v>
      </c>
      <c r="G35">
        <f t="shared" si="3"/>
        <v>0</v>
      </c>
      <c r="H35">
        <f t="shared" si="4"/>
        <v>10</v>
      </c>
      <c r="I35">
        <v>34</v>
      </c>
      <c r="J35">
        <f t="shared" si="5"/>
        <v>0</v>
      </c>
      <c r="K35">
        <f t="shared" si="6"/>
        <v>0</v>
      </c>
      <c r="L35">
        <f t="shared" si="7"/>
        <v>0</v>
      </c>
      <c r="M35">
        <f t="shared" si="8"/>
        <v>0</v>
      </c>
      <c r="N35">
        <f t="shared" si="9"/>
        <v>0</v>
      </c>
      <c r="O35">
        <f t="shared" si="10"/>
        <v>0</v>
      </c>
      <c r="P35">
        <f t="shared" si="11"/>
        <v>0</v>
      </c>
      <c r="Q35">
        <f t="shared" si="12"/>
        <v>0</v>
      </c>
      <c r="R35">
        <f t="shared" si="13"/>
        <v>0</v>
      </c>
      <c r="S35">
        <f t="shared" si="14"/>
        <v>1</v>
      </c>
      <c r="T35">
        <f t="shared" si="15"/>
        <v>0</v>
      </c>
      <c r="Z35">
        <v>8</v>
      </c>
      <c r="AA35">
        <v>5.600076149160051</v>
      </c>
      <c r="AB35">
        <v>0.19992385083994879</v>
      </c>
      <c r="AK35" s="3" t="s">
        <v>32</v>
      </c>
      <c r="AL35" s="3" t="s">
        <v>51</v>
      </c>
      <c r="AM35" s="3" t="s">
        <v>34</v>
      </c>
    </row>
    <row r="36" spans="1:39" x14ac:dyDescent="0.2">
      <c r="A36" s="7">
        <v>44866</v>
      </c>
      <c r="B36">
        <v>5.35</v>
      </c>
      <c r="C36">
        <f t="shared" si="0"/>
        <v>4</v>
      </c>
      <c r="D36">
        <v>35</v>
      </c>
      <c r="E36">
        <f t="shared" si="1"/>
        <v>0</v>
      </c>
      <c r="F36">
        <f t="shared" si="2"/>
        <v>0</v>
      </c>
      <c r="G36">
        <f t="shared" si="3"/>
        <v>0</v>
      </c>
      <c r="H36">
        <f t="shared" si="4"/>
        <v>11</v>
      </c>
      <c r="I36">
        <v>35</v>
      </c>
      <c r="J36">
        <f t="shared" si="5"/>
        <v>0</v>
      </c>
      <c r="K36">
        <f t="shared" si="6"/>
        <v>0</v>
      </c>
      <c r="L36">
        <f t="shared" si="7"/>
        <v>0</v>
      </c>
      <c r="M36">
        <f t="shared" si="8"/>
        <v>0</v>
      </c>
      <c r="N36">
        <f t="shared" si="9"/>
        <v>0</v>
      </c>
      <c r="O36">
        <f t="shared" si="10"/>
        <v>0</v>
      </c>
      <c r="P36">
        <f t="shared" si="11"/>
        <v>0</v>
      </c>
      <c r="Q36">
        <f t="shared" si="12"/>
        <v>0</v>
      </c>
      <c r="R36">
        <f t="shared" si="13"/>
        <v>0</v>
      </c>
      <c r="S36">
        <f t="shared" si="14"/>
        <v>0</v>
      </c>
      <c r="T36">
        <f t="shared" si="15"/>
        <v>1</v>
      </c>
      <c r="Z36">
        <v>9</v>
      </c>
      <c r="AA36">
        <v>5.5946552519844923</v>
      </c>
      <c r="AB36">
        <v>-0.4146552519844926</v>
      </c>
      <c r="AK36">
        <v>1</v>
      </c>
      <c r="AL36">
        <v>5.5561333333333316</v>
      </c>
      <c r="AM36">
        <v>-0.14613333333333145</v>
      </c>
    </row>
    <row r="37" spans="1:39" x14ac:dyDescent="0.2">
      <c r="A37" s="7">
        <v>44896</v>
      </c>
      <c r="B37">
        <v>5.93</v>
      </c>
      <c r="C37">
        <f t="shared" si="0"/>
        <v>4</v>
      </c>
      <c r="D37">
        <v>36</v>
      </c>
      <c r="E37">
        <f t="shared" si="1"/>
        <v>0</v>
      </c>
      <c r="F37">
        <f t="shared" si="2"/>
        <v>0</v>
      </c>
      <c r="G37">
        <f t="shared" si="3"/>
        <v>0</v>
      </c>
      <c r="H37">
        <f t="shared" si="4"/>
        <v>12</v>
      </c>
      <c r="I37">
        <v>36</v>
      </c>
      <c r="J37">
        <f t="shared" si="5"/>
        <v>0</v>
      </c>
      <c r="K37">
        <f t="shared" si="6"/>
        <v>0</v>
      </c>
      <c r="L37">
        <f t="shared" si="7"/>
        <v>0</v>
      </c>
      <c r="M37">
        <f t="shared" si="8"/>
        <v>0</v>
      </c>
      <c r="N37">
        <f t="shared" si="9"/>
        <v>0</v>
      </c>
      <c r="O37">
        <f t="shared" si="10"/>
        <v>0</v>
      </c>
      <c r="P37">
        <f t="shared" si="11"/>
        <v>0</v>
      </c>
      <c r="Q37">
        <f t="shared" si="12"/>
        <v>0</v>
      </c>
      <c r="R37">
        <f t="shared" si="13"/>
        <v>0</v>
      </c>
      <c r="S37">
        <f t="shared" si="14"/>
        <v>0</v>
      </c>
      <c r="T37">
        <f t="shared" si="15"/>
        <v>0</v>
      </c>
      <c r="Z37">
        <v>10</v>
      </c>
      <c r="AA37">
        <v>5.6396637130022755</v>
      </c>
      <c r="AB37">
        <v>-2.9663713002275216E-2</v>
      </c>
      <c r="AK37">
        <v>2</v>
      </c>
      <c r="AL37">
        <v>5.6541333333333315</v>
      </c>
      <c r="AM37">
        <v>2.5866666666668259E-2</v>
      </c>
    </row>
    <row r="38" spans="1:39" x14ac:dyDescent="0.2">
      <c r="A38" s="7">
        <v>44927</v>
      </c>
      <c r="B38">
        <v>5.68</v>
      </c>
      <c r="C38">
        <f t="shared" si="0"/>
        <v>1</v>
      </c>
      <c r="D38">
        <v>37</v>
      </c>
      <c r="E38">
        <f t="shared" si="1"/>
        <v>1</v>
      </c>
      <c r="F38">
        <f t="shared" si="2"/>
        <v>0</v>
      </c>
      <c r="G38">
        <f t="shared" si="3"/>
        <v>0</v>
      </c>
      <c r="H38">
        <f t="shared" si="4"/>
        <v>1</v>
      </c>
      <c r="I38">
        <v>37</v>
      </c>
      <c r="J38">
        <f t="shared" si="5"/>
        <v>1</v>
      </c>
      <c r="K38">
        <f t="shared" si="6"/>
        <v>0</v>
      </c>
      <c r="L38">
        <f t="shared" si="7"/>
        <v>0</v>
      </c>
      <c r="M38">
        <f t="shared" si="8"/>
        <v>0</v>
      </c>
      <c r="N38">
        <f t="shared" si="9"/>
        <v>0</v>
      </c>
      <c r="O38">
        <f t="shared" si="10"/>
        <v>0</v>
      </c>
      <c r="P38">
        <f t="shared" si="11"/>
        <v>0</v>
      </c>
      <c r="Q38">
        <f t="shared" si="12"/>
        <v>0</v>
      </c>
      <c r="R38">
        <f t="shared" si="13"/>
        <v>0</v>
      </c>
      <c r="S38">
        <f t="shared" si="14"/>
        <v>0</v>
      </c>
      <c r="T38">
        <f t="shared" si="15"/>
        <v>0</v>
      </c>
      <c r="Z38">
        <v>11</v>
      </c>
      <c r="AA38">
        <v>5.6342428158267177</v>
      </c>
      <c r="AB38">
        <v>-6.4242815826717425E-2</v>
      </c>
      <c r="AK38">
        <v>3</v>
      </c>
      <c r="AL38">
        <v>5.4921333333333315</v>
      </c>
      <c r="AM38">
        <v>0.32786666666666875</v>
      </c>
    </row>
    <row r="39" spans="1:39" x14ac:dyDescent="0.2">
      <c r="A39" s="7">
        <v>44958</v>
      </c>
      <c r="B39">
        <v>5.42</v>
      </c>
      <c r="C39">
        <f t="shared" si="0"/>
        <v>1</v>
      </c>
      <c r="D39">
        <v>38</v>
      </c>
      <c r="E39">
        <f t="shared" si="1"/>
        <v>1</v>
      </c>
      <c r="F39">
        <f t="shared" si="2"/>
        <v>0</v>
      </c>
      <c r="G39">
        <f t="shared" si="3"/>
        <v>0</v>
      </c>
      <c r="H39">
        <f t="shared" si="4"/>
        <v>2</v>
      </c>
      <c r="I39">
        <v>38</v>
      </c>
      <c r="J39">
        <f t="shared" si="5"/>
        <v>0</v>
      </c>
      <c r="K39">
        <f t="shared" si="6"/>
        <v>1</v>
      </c>
      <c r="L39">
        <f t="shared" si="7"/>
        <v>0</v>
      </c>
      <c r="M39">
        <f t="shared" si="8"/>
        <v>0</v>
      </c>
      <c r="N39">
        <f t="shared" si="9"/>
        <v>0</v>
      </c>
      <c r="O39">
        <f t="shared" si="10"/>
        <v>0</v>
      </c>
      <c r="P39">
        <f t="shared" si="11"/>
        <v>0</v>
      </c>
      <c r="Q39">
        <f t="shared" si="12"/>
        <v>0</v>
      </c>
      <c r="R39">
        <f t="shared" si="13"/>
        <v>0</v>
      </c>
      <c r="S39">
        <f t="shared" si="14"/>
        <v>0</v>
      </c>
      <c r="T39">
        <f t="shared" si="15"/>
        <v>0</v>
      </c>
      <c r="Z39">
        <v>12</v>
      </c>
      <c r="AA39">
        <v>5.628821918651159</v>
      </c>
      <c r="AB39">
        <v>4.1178081348840934E-2</v>
      </c>
      <c r="AK39">
        <v>4</v>
      </c>
      <c r="AL39">
        <v>5.6510999999999978</v>
      </c>
      <c r="AM39">
        <v>8.9000000000023505E-3</v>
      </c>
    </row>
    <row r="40" spans="1:39" x14ac:dyDescent="0.2">
      <c r="A40" s="7">
        <v>44986</v>
      </c>
      <c r="B40">
        <v>5.43</v>
      </c>
      <c r="C40">
        <f t="shared" si="0"/>
        <v>1</v>
      </c>
      <c r="D40">
        <v>39</v>
      </c>
      <c r="E40">
        <f t="shared" si="1"/>
        <v>1</v>
      </c>
      <c r="F40">
        <f t="shared" si="2"/>
        <v>0</v>
      </c>
      <c r="G40">
        <f t="shared" si="3"/>
        <v>0</v>
      </c>
      <c r="H40">
        <f t="shared" si="4"/>
        <v>3</v>
      </c>
      <c r="I40">
        <v>39</v>
      </c>
      <c r="J40">
        <f t="shared" si="5"/>
        <v>0</v>
      </c>
      <c r="K40">
        <f t="shared" si="6"/>
        <v>0</v>
      </c>
      <c r="L40">
        <f t="shared" si="7"/>
        <v>1</v>
      </c>
      <c r="M40">
        <f t="shared" si="8"/>
        <v>0</v>
      </c>
      <c r="N40">
        <f t="shared" si="9"/>
        <v>0</v>
      </c>
      <c r="O40">
        <f t="shared" si="10"/>
        <v>0</v>
      </c>
      <c r="P40">
        <f t="shared" si="11"/>
        <v>0</v>
      </c>
      <c r="Q40">
        <f t="shared" si="12"/>
        <v>0</v>
      </c>
      <c r="R40">
        <f t="shared" si="13"/>
        <v>0</v>
      </c>
      <c r="S40">
        <f t="shared" si="14"/>
        <v>0</v>
      </c>
      <c r="T40">
        <f t="shared" si="15"/>
        <v>0</v>
      </c>
      <c r="Z40">
        <v>13</v>
      </c>
      <c r="AA40">
        <v>5.5098049966155918</v>
      </c>
      <c r="AB40">
        <v>-0.17980499661559168</v>
      </c>
      <c r="AK40">
        <v>5</v>
      </c>
      <c r="AL40">
        <v>5.5035999999999969</v>
      </c>
      <c r="AM40">
        <v>0.25640000000000285</v>
      </c>
    </row>
    <row r="41" spans="1:39" x14ac:dyDescent="0.2">
      <c r="A41" s="7">
        <v>45017</v>
      </c>
      <c r="B41">
        <v>5.56</v>
      </c>
      <c r="C41">
        <f t="shared" si="0"/>
        <v>2</v>
      </c>
      <c r="D41">
        <v>40</v>
      </c>
      <c r="E41">
        <f t="shared" si="1"/>
        <v>0</v>
      </c>
      <c r="F41">
        <f t="shared" si="2"/>
        <v>1</v>
      </c>
      <c r="G41">
        <f t="shared" si="3"/>
        <v>0</v>
      </c>
      <c r="H41">
        <f t="shared" si="4"/>
        <v>4</v>
      </c>
      <c r="I41">
        <v>40</v>
      </c>
      <c r="J41">
        <f t="shared" si="5"/>
        <v>0</v>
      </c>
      <c r="K41">
        <f t="shared" si="6"/>
        <v>0</v>
      </c>
      <c r="L41">
        <f t="shared" si="7"/>
        <v>0</v>
      </c>
      <c r="M41">
        <f t="shared" si="8"/>
        <v>1</v>
      </c>
      <c r="N41">
        <f t="shared" si="9"/>
        <v>0</v>
      </c>
      <c r="O41">
        <f t="shared" si="10"/>
        <v>0</v>
      </c>
      <c r="P41">
        <f t="shared" si="11"/>
        <v>0</v>
      </c>
      <c r="Q41">
        <f t="shared" si="12"/>
        <v>0</v>
      </c>
      <c r="R41">
        <f t="shared" si="13"/>
        <v>0</v>
      </c>
      <c r="S41">
        <f t="shared" si="14"/>
        <v>0</v>
      </c>
      <c r="T41">
        <f t="shared" si="15"/>
        <v>0</v>
      </c>
      <c r="Z41">
        <v>14</v>
      </c>
      <c r="AA41">
        <v>5.504384099440033</v>
      </c>
      <c r="AB41">
        <v>-1.4384099440032827E-2</v>
      </c>
      <c r="AK41">
        <v>6</v>
      </c>
      <c r="AL41">
        <v>5.5085999999999977</v>
      </c>
      <c r="AM41">
        <v>-9.8599999999997578E-2</v>
      </c>
    </row>
    <row r="42" spans="1:39" x14ac:dyDescent="0.2">
      <c r="A42" s="7">
        <v>45047</v>
      </c>
      <c r="B42">
        <v>5.09</v>
      </c>
      <c r="C42">
        <f t="shared" si="0"/>
        <v>2</v>
      </c>
      <c r="D42">
        <v>41</v>
      </c>
      <c r="E42">
        <f t="shared" si="1"/>
        <v>0</v>
      </c>
      <c r="F42">
        <f t="shared" si="2"/>
        <v>1</v>
      </c>
      <c r="G42">
        <f t="shared" si="3"/>
        <v>0</v>
      </c>
      <c r="H42">
        <f t="shared" si="4"/>
        <v>5</v>
      </c>
      <c r="I42">
        <v>41</v>
      </c>
      <c r="J42">
        <f t="shared" si="5"/>
        <v>0</v>
      </c>
      <c r="K42">
        <f t="shared" si="6"/>
        <v>0</v>
      </c>
      <c r="L42">
        <f t="shared" si="7"/>
        <v>0</v>
      </c>
      <c r="M42">
        <f t="shared" si="8"/>
        <v>0</v>
      </c>
      <c r="N42">
        <f t="shared" si="9"/>
        <v>1</v>
      </c>
      <c r="O42">
        <f t="shared" si="10"/>
        <v>0</v>
      </c>
      <c r="P42">
        <f t="shared" si="11"/>
        <v>0</v>
      </c>
      <c r="Q42">
        <f t="shared" si="12"/>
        <v>0</v>
      </c>
      <c r="R42">
        <f t="shared" si="13"/>
        <v>0</v>
      </c>
      <c r="S42">
        <f t="shared" si="14"/>
        <v>0</v>
      </c>
      <c r="T42">
        <f t="shared" si="15"/>
        <v>0</v>
      </c>
      <c r="Z42">
        <v>15</v>
      </c>
      <c r="AA42">
        <v>5.4989632022644752</v>
      </c>
      <c r="AB42">
        <v>-0.10896320226447553</v>
      </c>
      <c r="AK42">
        <v>7</v>
      </c>
      <c r="AL42">
        <v>5.8235999999999972</v>
      </c>
      <c r="AM42">
        <v>0.10640000000000249</v>
      </c>
    </row>
    <row r="43" spans="1:39" x14ac:dyDescent="0.2">
      <c r="A43" s="7">
        <v>45078</v>
      </c>
      <c r="B43">
        <v>5.22</v>
      </c>
      <c r="C43">
        <f t="shared" si="0"/>
        <v>2</v>
      </c>
      <c r="D43">
        <v>42</v>
      </c>
      <c r="E43">
        <f t="shared" si="1"/>
        <v>0</v>
      </c>
      <c r="F43">
        <f t="shared" si="2"/>
        <v>1</v>
      </c>
      <c r="G43">
        <f t="shared" si="3"/>
        <v>0</v>
      </c>
      <c r="H43">
        <f t="shared" si="4"/>
        <v>6</v>
      </c>
      <c r="I43">
        <v>42</v>
      </c>
      <c r="J43">
        <f t="shared" si="5"/>
        <v>0</v>
      </c>
      <c r="K43">
        <f t="shared" si="6"/>
        <v>0</v>
      </c>
      <c r="L43">
        <f t="shared" si="7"/>
        <v>0</v>
      </c>
      <c r="M43">
        <f t="shared" si="8"/>
        <v>0</v>
      </c>
      <c r="N43">
        <f t="shared" si="9"/>
        <v>0</v>
      </c>
      <c r="O43">
        <f t="shared" si="10"/>
        <v>1</v>
      </c>
      <c r="P43">
        <f t="shared" si="11"/>
        <v>0</v>
      </c>
      <c r="Q43">
        <f t="shared" si="12"/>
        <v>0</v>
      </c>
      <c r="R43">
        <f t="shared" si="13"/>
        <v>0</v>
      </c>
      <c r="S43">
        <f t="shared" si="14"/>
        <v>0</v>
      </c>
      <c r="T43">
        <f t="shared" si="15"/>
        <v>0</v>
      </c>
      <c r="Z43">
        <v>16</v>
      </c>
      <c r="AA43">
        <v>5.4962796135622414</v>
      </c>
      <c r="AB43">
        <v>-3.6279613562241408E-2</v>
      </c>
      <c r="AK43">
        <v>8</v>
      </c>
      <c r="AL43">
        <v>5.5535999999999976</v>
      </c>
      <c r="AM43">
        <v>0.24640000000000217</v>
      </c>
    </row>
    <row r="44" spans="1:39" x14ac:dyDescent="0.2">
      <c r="A44" s="7">
        <v>45108</v>
      </c>
      <c r="B44">
        <v>5.33</v>
      </c>
      <c r="C44">
        <f t="shared" si="0"/>
        <v>3</v>
      </c>
      <c r="D44">
        <v>43</v>
      </c>
      <c r="E44">
        <f t="shared" si="1"/>
        <v>0</v>
      </c>
      <c r="F44">
        <f t="shared" si="2"/>
        <v>0</v>
      </c>
      <c r="G44">
        <f t="shared" si="3"/>
        <v>1</v>
      </c>
      <c r="H44">
        <f t="shared" si="4"/>
        <v>7</v>
      </c>
      <c r="I44">
        <v>43</v>
      </c>
      <c r="J44">
        <f t="shared" si="5"/>
        <v>0</v>
      </c>
      <c r="K44">
        <f t="shared" si="6"/>
        <v>0</v>
      </c>
      <c r="L44">
        <f t="shared" si="7"/>
        <v>0</v>
      </c>
      <c r="M44">
        <f t="shared" si="8"/>
        <v>0</v>
      </c>
      <c r="N44">
        <f t="shared" si="9"/>
        <v>0</v>
      </c>
      <c r="O44">
        <f t="shared" si="10"/>
        <v>0</v>
      </c>
      <c r="P44">
        <f t="shared" si="11"/>
        <v>1</v>
      </c>
      <c r="Q44">
        <f t="shared" si="12"/>
        <v>0</v>
      </c>
      <c r="R44">
        <f t="shared" si="13"/>
        <v>0</v>
      </c>
      <c r="S44">
        <f t="shared" si="14"/>
        <v>0</v>
      </c>
      <c r="T44">
        <f t="shared" si="15"/>
        <v>0</v>
      </c>
      <c r="Z44">
        <v>17</v>
      </c>
      <c r="AA44">
        <v>5.4908587163866827</v>
      </c>
      <c r="AB44">
        <v>-0.37085871638668255</v>
      </c>
      <c r="AK44">
        <v>9</v>
      </c>
      <c r="AL44">
        <v>5.4185999999999979</v>
      </c>
      <c r="AM44">
        <v>-0.23859999999999815</v>
      </c>
    </row>
    <row r="45" spans="1:39" x14ac:dyDescent="0.2">
      <c r="A45" s="7">
        <v>45139</v>
      </c>
      <c r="B45">
        <v>5.12</v>
      </c>
      <c r="C45">
        <f t="shared" si="0"/>
        <v>3</v>
      </c>
      <c r="D45">
        <v>44</v>
      </c>
      <c r="E45">
        <f t="shared" si="1"/>
        <v>0</v>
      </c>
      <c r="F45">
        <f t="shared" si="2"/>
        <v>0</v>
      </c>
      <c r="G45">
        <f t="shared" si="3"/>
        <v>1</v>
      </c>
      <c r="H45">
        <f t="shared" si="4"/>
        <v>8</v>
      </c>
      <c r="I45">
        <v>44</v>
      </c>
      <c r="J45">
        <f t="shared" si="5"/>
        <v>0</v>
      </c>
      <c r="K45">
        <f t="shared" si="6"/>
        <v>0</v>
      </c>
      <c r="L45">
        <f t="shared" si="7"/>
        <v>0</v>
      </c>
      <c r="M45">
        <f t="shared" si="8"/>
        <v>0</v>
      </c>
      <c r="N45">
        <f t="shared" si="9"/>
        <v>0</v>
      </c>
      <c r="O45">
        <f t="shared" si="10"/>
        <v>0</v>
      </c>
      <c r="P45">
        <f t="shared" si="11"/>
        <v>0</v>
      </c>
      <c r="Q45">
        <f t="shared" si="12"/>
        <v>1</v>
      </c>
      <c r="R45">
        <f t="shared" si="13"/>
        <v>0</v>
      </c>
      <c r="S45">
        <f t="shared" si="14"/>
        <v>0</v>
      </c>
      <c r="T45">
        <f t="shared" si="15"/>
        <v>0</v>
      </c>
      <c r="Z45">
        <v>18</v>
      </c>
      <c r="AA45">
        <v>5.4854378192111248</v>
      </c>
      <c r="AB45">
        <v>9.4562180788875239E-2</v>
      </c>
      <c r="AK45">
        <v>10</v>
      </c>
      <c r="AL45">
        <v>5.4585999999999979</v>
      </c>
      <c r="AM45">
        <v>0.15140000000000242</v>
      </c>
    </row>
    <row r="46" spans="1:39" x14ac:dyDescent="0.2">
      <c r="A46" s="7">
        <v>45170</v>
      </c>
      <c r="B46">
        <v>5.26</v>
      </c>
      <c r="C46">
        <f t="shared" si="0"/>
        <v>3</v>
      </c>
      <c r="D46">
        <v>45</v>
      </c>
      <c r="E46">
        <f t="shared" si="1"/>
        <v>0</v>
      </c>
      <c r="F46">
        <f t="shared" si="2"/>
        <v>0</v>
      </c>
      <c r="G46">
        <f t="shared" si="3"/>
        <v>1</v>
      </c>
      <c r="H46">
        <f t="shared" si="4"/>
        <v>9</v>
      </c>
      <c r="I46">
        <v>45</v>
      </c>
      <c r="J46">
        <f t="shared" si="5"/>
        <v>0</v>
      </c>
      <c r="K46">
        <f t="shared" si="6"/>
        <v>0</v>
      </c>
      <c r="L46">
        <f t="shared" si="7"/>
        <v>0</v>
      </c>
      <c r="M46">
        <f t="shared" si="8"/>
        <v>0</v>
      </c>
      <c r="N46">
        <f t="shared" si="9"/>
        <v>0</v>
      </c>
      <c r="O46">
        <f t="shared" si="10"/>
        <v>0</v>
      </c>
      <c r="P46">
        <f t="shared" si="11"/>
        <v>0</v>
      </c>
      <c r="Q46">
        <f t="shared" si="12"/>
        <v>0</v>
      </c>
      <c r="R46">
        <f t="shared" si="13"/>
        <v>1</v>
      </c>
      <c r="S46">
        <f t="shared" si="14"/>
        <v>0</v>
      </c>
      <c r="T46">
        <f t="shared" si="15"/>
        <v>0</v>
      </c>
      <c r="Z46">
        <v>19</v>
      </c>
      <c r="AA46">
        <v>5.5404462802289078</v>
      </c>
      <c r="AB46">
        <v>0.29955371977109202</v>
      </c>
      <c r="AK46">
        <v>11</v>
      </c>
      <c r="AL46">
        <v>5.6210999999999984</v>
      </c>
      <c r="AM46">
        <v>-5.1099999999998147E-2</v>
      </c>
    </row>
    <row r="47" spans="1:39" x14ac:dyDescent="0.2">
      <c r="A47" s="7">
        <v>45200</v>
      </c>
      <c r="B47">
        <v>5.07</v>
      </c>
      <c r="C47">
        <f t="shared" si="0"/>
        <v>4</v>
      </c>
      <c r="D47">
        <v>46</v>
      </c>
      <c r="E47">
        <f t="shared" si="1"/>
        <v>0</v>
      </c>
      <c r="F47">
        <f t="shared" si="2"/>
        <v>0</v>
      </c>
      <c r="G47">
        <f t="shared" si="3"/>
        <v>0</v>
      </c>
      <c r="H47">
        <f t="shared" si="4"/>
        <v>10</v>
      </c>
      <c r="I47">
        <v>46</v>
      </c>
      <c r="J47">
        <f t="shared" si="5"/>
        <v>0</v>
      </c>
      <c r="K47">
        <f t="shared" si="6"/>
        <v>0</v>
      </c>
      <c r="L47">
        <f t="shared" si="7"/>
        <v>0</v>
      </c>
      <c r="M47">
        <f t="shared" si="8"/>
        <v>0</v>
      </c>
      <c r="N47">
        <f t="shared" si="9"/>
        <v>0</v>
      </c>
      <c r="O47">
        <f t="shared" si="10"/>
        <v>0</v>
      </c>
      <c r="P47">
        <f t="shared" si="11"/>
        <v>0</v>
      </c>
      <c r="Q47">
        <f t="shared" si="12"/>
        <v>0</v>
      </c>
      <c r="R47">
        <f t="shared" si="13"/>
        <v>0</v>
      </c>
      <c r="S47">
        <f t="shared" si="14"/>
        <v>1</v>
      </c>
      <c r="T47">
        <f t="shared" si="15"/>
        <v>0</v>
      </c>
      <c r="Z47">
        <v>20</v>
      </c>
      <c r="AA47">
        <v>5.5350253830533491</v>
      </c>
      <c r="AB47">
        <v>1.4974616946650698E-2</v>
      </c>
      <c r="AK47">
        <v>12</v>
      </c>
      <c r="AL47">
        <v>5.8185999999999982</v>
      </c>
      <c r="AM47">
        <v>-0.14859999999999829</v>
      </c>
    </row>
    <row r="48" spans="1:39" x14ac:dyDescent="0.2">
      <c r="A48" s="7">
        <v>45231</v>
      </c>
      <c r="B48">
        <v>5.75</v>
      </c>
      <c r="C48">
        <f t="shared" si="0"/>
        <v>4</v>
      </c>
      <c r="D48">
        <v>47</v>
      </c>
      <c r="E48">
        <f t="shared" si="1"/>
        <v>0</v>
      </c>
      <c r="F48">
        <f t="shared" si="2"/>
        <v>0</v>
      </c>
      <c r="G48">
        <f t="shared" si="3"/>
        <v>0</v>
      </c>
      <c r="H48">
        <f t="shared" si="4"/>
        <v>11</v>
      </c>
      <c r="I48">
        <v>47</v>
      </c>
      <c r="J48">
        <f t="shared" si="5"/>
        <v>0</v>
      </c>
      <c r="K48">
        <f t="shared" si="6"/>
        <v>0</v>
      </c>
      <c r="L48">
        <f t="shared" si="7"/>
        <v>0</v>
      </c>
      <c r="M48">
        <f t="shared" si="8"/>
        <v>0</v>
      </c>
      <c r="N48">
        <f t="shared" si="9"/>
        <v>0</v>
      </c>
      <c r="O48">
        <f t="shared" si="10"/>
        <v>0</v>
      </c>
      <c r="P48">
        <f t="shared" si="11"/>
        <v>0</v>
      </c>
      <c r="Q48">
        <f t="shared" si="12"/>
        <v>0</v>
      </c>
      <c r="R48">
        <f t="shared" si="13"/>
        <v>0</v>
      </c>
      <c r="S48">
        <f t="shared" si="14"/>
        <v>0</v>
      </c>
      <c r="T48">
        <f t="shared" si="15"/>
        <v>1</v>
      </c>
      <c r="Z48">
        <v>21</v>
      </c>
      <c r="AA48">
        <v>5.5296044858777913</v>
      </c>
      <c r="AB48">
        <v>-0.43960448587779144</v>
      </c>
      <c r="AK48">
        <v>13</v>
      </c>
      <c r="AL48">
        <v>5.4920666666666644</v>
      </c>
      <c r="AM48">
        <v>-0.16206666666666436</v>
      </c>
    </row>
    <row r="49" spans="1:39" x14ac:dyDescent="0.2">
      <c r="A49" s="7">
        <v>45261</v>
      </c>
      <c r="B49">
        <v>5.47</v>
      </c>
      <c r="C49">
        <f t="shared" si="0"/>
        <v>4</v>
      </c>
      <c r="D49">
        <v>48</v>
      </c>
      <c r="E49">
        <f t="shared" si="1"/>
        <v>0</v>
      </c>
      <c r="F49">
        <f t="shared" si="2"/>
        <v>0</v>
      </c>
      <c r="G49">
        <f t="shared" si="3"/>
        <v>0</v>
      </c>
      <c r="H49">
        <f t="shared" si="4"/>
        <v>12</v>
      </c>
      <c r="I49">
        <v>48</v>
      </c>
      <c r="J49">
        <f t="shared" si="5"/>
        <v>0</v>
      </c>
      <c r="K49">
        <f t="shared" si="6"/>
        <v>0</v>
      </c>
      <c r="L49">
        <f t="shared" si="7"/>
        <v>0</v>
      </c>
      <c r="M49">
        <f t="shared" si="8"/>
        <v>0</v>
      </c>
      <c r="N49">
        <f t="shared" si="9"/>
        <v>0</v>
      </c>
      <c r="O49">
        <f t="shared" si="10"/>
        <v>0</v>
      </c>
      <c r="P49">
        <f t="shared" si="11"/>
        <v>0</v>
      </c>
      <c r="Q49">
        <f t="shared" si="12"/>
        <v>0</v>
      </c>
      <c r="R49">
        <f t="shared" si="13"/>
        <v>0</v>
      </c>
      <c r="S49">
        <f t="shared" si="14"/>
        <v>0</v>
      </c>
      <c r="T49">
        <f t="shared" si="15"/>
        <v>0</v>
      </c>
      <c r="Z49">
        <v>22</v>
      </c>
      <c r="AA49">
        <v>5.5746129468955745</v>
      </c>
      <c r="AB49">
        <v>-0.22461294689557487</v>
      </c>
      <c r="AK49">
        <v>14</v>
      </c>
      <c r="AL49">
        <v>5.5900666666666643</v>
      </c>
      <c r="AM49">
        <v>-0.10006666666666408</v>
      </c>
    </row>
    <row r="50" spans="1:39" x14ac:dyDescent="0.2">
      <c r="A50" s="7">
        <v>45292</v>
      </c>
      <c r="B50">
        <v>5.46</v>
      </c>
      <c r="C50">
        <f t="shared" si="0"/>
        <v>1</v>
      </c>
      <c r="D50">
        <v>49</v>
      </c>
      <c r="E50">
        <f t="shared" si="1"/>
        <v>1</v>
      </c>
      <c r="F50">
        <f t="shared" si="2"/>
        <v>0</v>
      </c>
      <c r="G50">
        <f t="shared" si="3"/>
        <v>0</v>
      </c>
      <c r="H50">
        <f t="shared" si="4"/>
        <v>1</v>
      </c>
      <c r="I50">
        <v>49</v>
      </c>
      <c r="J50">
        <f t="shared" si="5"/>
        <v>1</v>
      </c>
      <c r="K50">
        <f t="shared" si="6"/>
        <v>0</v>
      </c>
      <c r="L50">
        <f t="shared" si="7"/>
        <v>0</v>
      </c>
      <c r="M50">
        <f t="shared" si="8"/>
        <v>0</v>
      </c>
      <c r="N50">
        <f t="shared" si="9"/>
        <v>0</v>
      </c>
      <c r="O50">
        <f t="shared" si="10"/>
        <v>0</v>
      </c>
      <c r="P50">
        <f t="shared" si="11"/>
        <v>0</v>
      </c>
      <c r="Q50">
        <f t="shared" si="12"/>
        <v>0</v>
      </c>
      <c r="R50">
        <f t="shared" si="13"/>
        <v>0</v>
      </c>
      <c r="S50">
        <f t="shared" si="14"/>
        <v>0</v>
      </c>
      <c r="T50">
        <f t="shared" si="15"/>
        <v>0</v>
      </c>
      <c r="Z50">
        <v>23</v>
      </c>
      <c r="AA50">
        <v>5.5691920497200158</v>
      </c>
      <c r="AB50">
        <v>-0.13919204972001609</v>
      </c>
      <c r="AK50">
        <v>15</v>
      </c>
      <c r="AL50">
        <v>5.4280666666666644</v>
      </c>
      <c r="AM50">
        <v>-3.8066666666664695E-2</v>
      </c>
    </row>
    <row r="51" spans="1:39" x14ac:dyDescent="0.2">
      <c r="A51" s="7">
        <v>45323</v>
      </c>
      <c r="B51">
        <v>5.62</v>
      </c>
      <c r="C51">
        <f t="shared" si="0"/>
        <v>1</v>
      </c>
      <c r="D51">
        <v>50</v>
      </c>
      <c r="E51">
        <f t="shared" si="1"/>
        <v>1</v>
      </c>
      <c r="F51">
        <f t="shared" si="2"/>
        <v>0</v>
      </c>
      <c r="G51">
        <f t="shared" si="3"/>
        <v>0</v>
      </c>
      <c r="H51">
        <f t="shared" si="4"/>
        <v>2</v>
      </c>
      <c r="I51">
        <v>50</v>
      </c>
      <c r="J51">
        <f t="shared" si="5"/>
        <v>0</v>
      </c>
      <c r="K51">
        <f t="shared" si="6"/>
        <v>1</v>
      </c>
      <c r="L51">
        <f t="shared" si="7"/>
        <v>0</v>
      </c>
      <c r="M51">
        <f t="shared" si="8"/>
        <v>0</v>
      </c>
      <c r="N51">
        <f t="shared" si="9"/>
        <v>0</v>
      </c>
      <c r="O51">
        <f t="shared" si="10"/>
        <v>0</v>
      </c>
      <c r="P51">
        <f t="shared" si="11"/>
        <v>0</v>
      </c>
      <c r="Q51">
        <f t="shared" si="12"/>
        <v>0</v>
      </c>
      <c r="R51">
        <f t="shared" si="13"/>
        <v>0</v>
      </c>
      <c r="S51">
        <f t="shared" si="14"/>
        <v>0</v>
      </c>
      <c r="T51">
        <f t="shared" si="15"/>
        <v>0</v>
      </c>
      <c r="Z51">
        <v>24</v>
      </c>
      <c r="AA51">
        <v>5.563771152544458</v>
      </c>
      <c r="AB51">
        <v>0.25622884745554231</v>
      </c>
      <c r="AK51">
        <v>16</v>
      </c>
      <c r="AL51">
        <v>5.5870333333333306</v>
      </c>
      <c r="AM51">
        <v>-0.12703333333333067</v>
      </c>
    </row>
    <row r="52" spans="1:39" x14ac:dyDescent="0.2">
      <c r="A52" s="7">
        <v>45352</v>
      </c>
      <c r="B52">
        <v>5.05</v>
      </c>
      <c r="C52">
        <f t="shared" si="0"/>
        <v>1</v>
      </c>
      <c r="D52">
        <v>51</v>
      </c>
      <c r="E52">
        <f t="shared" si="1"/>
        <v>1</v>
      </c>
      <c r="F52">
        <f t="shared" si="2"/>
        <v>0</v>
      </c>
      <c r="G52">
        <f t="shared" si="3"/>
        <v>0</v>
      </c>
      <c r="H52">
        <f t="shared" si="4"/>
        <v>3</v>
      </c>
      <c r="I52">
        <v>51</v>
      </c>
      <c r="J52">
        <f t="shared" si="5"/>
        <v>0</v>
      </c>
      <c r="K52">
        <f t="shared" si="6"/>
        <v>0</v>
      </c>
      <c r="L52">
        <f t="shared" si="7"/>
        <v>1</v>
      </c>
      <c r="M52">
        <f t="shared" si="8"/>
        <v>0</v>
      </c>
      <c r="N52">
        <f t="shared" si="9"/>
        <v>0</v>
      </c>
      <c r="O52">
        <f t="shared" si="10"/>
        <v>0</v>
      </c>
      <c r="P52">
        <f t="shared" si="11"/>
        <v>0</v>
      </c>
      <c r="Q52">
        <f t="shared" si="12"/>
        <v>0</v>
      </c>
      <c r="R52">
        <f t="shared" si="13"/>
        <v>0</v>
      </c>
      <c r="S52">
        <f t="shared" si="14"/>
        <v>0</v>
      </c>
      <c r="T52">
        <f t="shared" si="15"/>
        <v>0</v>
      </c>
      <c r="Z52">
        <v>25</v>
      </c>
      <c r="AA52">
        <v>5.4447542305088907</v>
      </c>
      <c r="AB52">
        <v>-0.18475423050889095</v>
      </c>
      <c r="AK52">
        <v>17</v>
      </c>
      <c r="AL52">
        <v>5.4395333333333307</v>
      </c>
      <c r="AM52">
        <v>-0.31953333333333056</v>
      </c>
    </row>
    <row r="53" spans="1:39" x14ac:dyDescent="0.2">
      <c r="A53" s="8"/>
      <c r="B53" s="1"/>
      <c r="Z53">
        <v>26</v>
      </c>
      <c r="AA53">
        <v>5.439333333333332</v>
      </c>
      <c r="AB53">
        <v>-1.9333333333332092E-2</v>
      </c>
      <c r="AK53">
        <v>18</v>
      </c>
      <c r="AL53">
        <v>5.4445333333333314</v>
      </c>
      <c r="AM53">
        <v>0.13546666666666862</v>
      </c>
    </row>
    <row r="54" spans="1:39" x14ac:dyDescent="0.2">
      <c r="A54" s="8"/>
      <c r="B54" s="1"/>
      <c r="Z54">
        <v>27</v>
      </c>
      <c r="AA54">
        <v>5.4339124361577742</v>
      </c>
      <c r="AB54">
        <v>-0.3039124361577743</v>
      </c>
      <c r="AK54">
        <v>19</v>
      </c>
      <c r="AL54">
        <v>5.759533333333331</v>
      </c>
      <c r="AM54">
        <v>8.0466666666668907E-2</v>
      </c>
    </row>
    <row r="55" spans="1:39" x14ac:dyDescent="0.2">
      <c r="A55" s="8"/>
      <c r="B55" s="1"/>
      <c r="Z55">
        <v>28</v>
      </c>
      <c r="AA55">
        <v>5.4312288474555404</v>
      </c>
      <c r="AB55">
        <v>0.10877115254445968</v>
      </c>
      <c r="AK55">
        <v>20</v>
      </c>
      <c r="AL55">
        <v>5.4895333333333305</v>
      </c>
      <c r="AM55">
        <v>6.0466666666669333E-2</v>
      </c>
    </row>
    <row r="56" spans="1:39" x14ac:dyDescent="0.2">
      <c r="Z56">
        <v>29</v>
      </c>
      <c r="AA56">
        <v>5.4258079502799816</v>
      </c>
      <c r="AB56">
        <v>0.2341920497200185</v>
      </c>
      <c r="AK56">
        <v>21</v>
      </c>
      <c r="AL56">
        <v>5.3545333333333307</v>
      </c>
      <c r="AM56">
        <v>-0.26453333333333084</v>
      </c>
    </row>
    <row r="57" spans="1:39" x14ac:dyDescent="0.2">
      <c r="Z57">
        <v>30</v>
      </c>
      <c r="AA57">
        <v>5.4203870531044238</v>
      </c>
      <c r="AB57">
        <v>1.9612946895576577E-2</v>
      </c>
      <c r="AK57">
        <v>22</v>
      </c>
      <c r="AL57">
        <v>5.3945333333333307</v>
      </c>
      <c r="AM57">
        <v>-4.4533333333331093E-2</v>
      </c>
    </row>
    <row r="58" spans="1:39" x14ac:dyDescent="0.2">
      <c r="Z58">
        <v>31</v>
      </c>
      <c r="AA58">
        <v>5.4753955141222068</v>
      </c>
      <c r="AB58">
        <v>0.33460448587779279</v>
      </c>
      <c r="AK58">
        <v>23</v>
      </c>
      <c r="AL58">
        <v>5.5570333333333313</v>
      </c>
      <c r="AM58">
        <v>-0.12703333333333156</v>
      </c>
    </row>
    <row r="59" spans="1:39" x14ac:dyDescent="0.2">
      <c r="Z59">
        <v>32</v>
      </c>
      <c r="AA59">
        <v>5.4699746169466481</v>
      </c>
      <c r="AB59">
        <v>-0.10997461694664779</v>
      </c>
      <c r="AK59">
        <v>24</v>
      </c>
      <c r="AL59">
        <v>5.7545333333333311</v>
      </c>
      <c r="AM59">
        <v>6.5466666666669227E-2</v>
      </c>
    </row>
    <row r="60" spans="1:39" x14ac:dyDescent="0.2">
      <c r="Z60">
        <v>33</v>
      </c>
      <c r="AA60">
        <v>5.4645537197710903</v>
      </c>
      <c r="AB60">
        <v>0.29544628022890951</v>
      </c>
      <c r="AK60">
        <v>25</v>
      </c>
      <c r="AL60">
        <v>5.4279999999999982</v>
      </c>
      <c r="AM60">
        <v>-0.16799999999999837</v>
      </c>
    </row>
    <row r="61" spans="1:39" x14ac:dyDescent="0.2">
      <c r="Z61">
        <v>34</v>
      </c>
      <c r="AA61">
        <v>5.5095621807888735</v>
      </c>
      <c r="AB61">
        <v>-8.9562180788873569E-2</v>
      </c>
      <c r="AK61">
        <v>26</v>
      </c>
      <c r="AL61">
        <v>5.525999999999998</v>
      </c>
      <c r="AM61">
        <v>-0.1059999999999981</v>
      </c>
    </row>
    <row r="62" spans="1:39" x14ac:dyDescent="0.2">
      <c r="Z62">
        <v>35</v>
      </c>
      <c r="AA62">
        <v>5.5041412836133148</v>
      </c>
      <c r="AB62">
        <v>-0.15414128361331514</v>
      </c>
      <c r="AK62">
        <v>27</v>
      </c>
      <c r="AL62">
        <v>5.3639999999999981</v>
      </c>
      <c r="AM62">
        <v>-0.23399999999999821</v>
      </c>
    </row>
    <row r="63" spans="1:39" x14ac:dyDescent="0.2">
      <c r="Z63">
        <v>36</v>
      </c>
      <c r="AA63">
        <v>5.498720386437757</v>
      </c>
      <c r="AB63">
        <v>0.43127961356224276</v>
      </c>
      <c r="AK63">
        <v>28</v>
      </c>
      <c r="AL63">
        <v>5.5229666666666652</v>
      </c>
      <c r="AM63">
        <v>1.7033333333334788E-2</v>
      </c>
    </row>
    <row r="64" spans="1:39" x14ac:dyDescent="0.2">
      <c r="Z64">
        <v>37</v>
      </c>
      <c r="AA64">
        <v>5.3797034644021897</v>
      </c>
      <c r="AB64">
        <v>0.30029653559781</v>
      </c>
      <c r="AK64">
        <v>29</v>
      </c>
      <c r="AL64">
        <v>5.3754666666666635</v>
      </c>
      <c r="AM64">
        <v>0.28453333333333664</v>
      </c>
    </row>
    <row r="65" spans="26:39" x14ac:dyDescent="0.2">
      <c r="Z65">
        <v>38</v>
      </c>
      <c r="AA65">
        <v>5.374282567226631</v>
      </c>
      <c r="AB65">
        <v>4.5717432773368927E-2</v>
      </c>
      <c r="AK65">
        <v>30</v>
      </c>
      <c r="AL65">
        <v>5.3804666666666643</v>
      </c>
      <c r="AM65">
        <v>5.9533333333336103E-2</v>
      </c>
    </row>
    <row r="66" spans="26:39" x14ac:dyDescent="0.2">
      <c r="Z66">
        <v>39</v>
      </c>
      <c r="AA66">
        <v>5.3688616700510723</v>
      </c>
      <c r="AB66">
        <v>6.1138329948927428E-2</v>
      </c>
      <c r="AK66">
        <v>31</v>
      </c>
      <c r="AL66">
        <v>5.6954666666666638</v>
      </c>
      <c r="AM66">
        <v>0.11453333333333582</v>
      </c>
    </row>
    <row r="67" spans="26:39" x14ac:dyDescent="0.2">
      <c r="Z67">
        <v>40</v>
      </c>
      <c r="AA67">
        <v>5.3661780813488393</v>
      </c>
      <c r="AB67">
        <v>0.19382191865116027</v>
      </c>
      <c r="AK67">
        <v>32</v>
      </c>
      <c r="AL67">
        <v>5.4254666666666642</v>
      </c>
      <c r="AM67">
        <v>-6.5466666666663897E-2</v>
      </c>
    </row>
    <row r="68" spans="26:39" x14ac:dyDescent="0.2">
      <c r="Z68">
        <v>41</v>
      </c>
      <c r="AA68">
        <v>5.3607571841732806</v>
      </c>
      <c r="AB68">
        <v>-0.27075718417328076</v>
      </c>
      <c r="AK68">
        <v>33</v>
      </c>
      <c r="AL68">
        <v>5.2904666666666644</v>
      </c>
      <c r="AM68">
        <v>0.46953333333333536</v>
      </c>
    </row>
    <row r="69" spans="26:39" x14ac:dyDescent="0.2">
      <c r="Z69">
        <v>42</v>
      </c>
      <c r="AA69">
        <v>5.3553362869977219</v>
      </c>
      <c r="AB69">
        <v>-0.13533628699772215</v>
      </c>
      <c r="AK69">
        <v>34</v>
      </c>
      <c r="AL69">
        <v>5.3304666666666645</v>
      </c>
      <c r="AM69">
        <v>8.9533333333335463E-2</v>
      </c>
    </row>
    <row r="70" spans="26:39" x14ac:dyDescent="0.2">
      <c r="Z70">
        <v>43</v>
      </c>
      <c r="AA70">
        <v>5.4103447480155058</v>
      </c>
      <c r="AB70">
        <v>-8.0344748015505729E-2</v>
      </c>
      <c r="AK70">
        <v>35</v>
      </c>
      <c r="AL70">
        <v>5.492966666666665</v>
      </c>
      <c r="AM70">
        <v>-0.14296666666666535</v>
      </c>
    </row>
    <row r="71" spans="26:39" x14ac:dyDescent="0.2">
      <c r="Z71">
        <v>44</v>
      </c>
      <c r="AA71">
        <v>5.4049238508399471</v>
      </c>
      <c r="AB71">
        <v>-0.28492385083994698</v>
      </c>
      <c r="AK71">
        <v>36</v>
      </c>
      <c r="AL71">
        <v>5.6904666666666639</v>
      </c>
      <c r="AM71">
        <v>0.23953333333333582</v>
      </c>
    </row>
    <row r="72" spans="26:39" x14ac:dyDescent="0.2">
      <c r="Z72">
        <v>45</v>
      </c>
      <c r="AA72">
        <v>5.3995029536643884</v>
      </c>
      <c r="AB72">
        <v>-0.13950295366438858</v>
      </c>
      <c r="AK72">
        <v>37</v>
      </c>
      <c r="AL72">
        <v>5.363933333333331</v>
      </c>
      <c r="AM72">
        <v>0.31606666666666872</v>
      </c>
    </row>
    <row r="73" spans="26:39" x14ac:dyDescent="0.2">
      <c r="Z73">
        <v>46</v>
      </c>
      <c r="AA73">
        <v>5.4445114146821725</v>
      </c>
      <c r="AB73">
        <v>-0.37451141468217219</v>
      </c>
      <c r="AK73">
        <v>38</v>
      </c>
      <c r="AL73">
        <v>5.4619333333333309</v>
      </c>
      <c r="AM73">
        <v>-4.1933333333330935E-2</v>
      </c>
    </row>
    <row r="74" spans="26:39" x14ac:dyDescent="0.2">
      <c r="Z74">
        <v>47</v>
      </c>
      <c r="AA74">
        <v>5.4390905175066138</v>
      </c>
      <c r="AB74">
        <v>0.31090948249338624</v>
      </c>
      <c r="AK74">
        <v>39</v>
      </c>
      <c r="AL74">
        <v>5.2999333333333309</v>
      </c>
      <c r="AM74">
        <v>0.13006666666666877</v>
      </c>
    </row>
    <row r="75" spans="26:39" x14ac:dyDescent="0.2">
      <c r="Z75">
        <v>48</v>
      </c>
      <c r="AA75">
        <v>5.4336696203310551</v>
      </c>
      <c r="AB75">
        <v>3.6330379668944701E-2</v>
      </c>
      <c r="AK75">
        <v>40</v>
      </c>
      <c r="AL75">
        <v>5.4588999999999981</v>
      </c>
      <c r="AM75">
        <v>0.10110000000000152</v>
      </c>
    </row>
    <row r="76" spans="26:39" x14ac:dyDescent="0.2">
      <c r="Z76">
        <v>49</v>
      </c>
      <c r="AA76">
        <v>5.3146526982954887</v>
      </c>
      <c r="AB76">
        <v>0.14534730170451127</v>
      </c>
      <c r="AK76">
        <v>41</v>
      </c>
      <c r="AL76">
        <v>5.3113999999999972</v>
      </c>
      <c r="AM76">
        <v>-0.22139999999999738</v>
      </c>
    </row>
    <row r="77" spans="26:39" x14ac:dyDescent="0.2">
      <c r="Z77">
        <v>50</v>
      </c>
      <c r="AA77">
        <v>5.30923180111993</v>
      </c>
      <c r="AB77">
        <v>0.31076819888007012</v>
      </c>
      <c r="AK77">
        <v>42</v>
      </c>
      <c r="AL77">
        <v>5.316399999999998</v>
      </c>
      <c r="AM77">
        <v>-9.6399999999998265E-2</v>
      </c>
    </row>
    <row r="78" spans="26:39" ht="16" thickBot="1" x14ac:dyDescent="0.25">
      <c r="Z78" s="2">
        <v>51</v>
      </c>
      <c r="AA78" s="2">
        <v>5.3038109039443713</v>
      </c>
      <c r="AB78" s="2">
        <v>-0.25381090394437145</v>
      </c>
      <c r="AK78">
        <v>43</v>
      </c>
      <c r="AL78">
        <v>5.6313999999999975</v>
      </c>
      <c r="AM78">
        <v>-0.30139999999999745</v>
      </c>
    </row>
    <row r="79" spans="26:39" x14ac:dyDescent="0.2">
      <c r="AK79">
        <v>44</v>
      </c>
      <c r="AL79">
        <v>5.3613999999999979</v>
      </c>
      <c r="AM79">
        <v>-0.24139999999999784</v>
      </c>
    </row>
    <row r="80" spans="26:39" x14ac:dyDescent="0.2">
      <c r="AK80">
        <v>45</v>
      </c>
      <c r="AL80">
        <v>5.2263999999999973</v>
      </c>
      <c r="AM80">
        <v>3.3600000000002517E-2</v>
      </c>
    </row>
    <row r="81" spans="37:39" x14ac:dyDescent="0.2">
      <c r="AK81">
        <v>46</v>
      </c>
      <c r="AL81">
        <v>5.2663999999999973</v>
      </c>
      <c r="AM81">
        <v>-0.19639999999999702</v>
      </c>
    </row>
    <row r="82" spans="37:39" x14ac:dyDescent="0.2">
      <c r="AK82">
        <v>47</v>
      </c>
      <c r="AL82">
        <v>5.4288999999999978</v>
      </c>
      <c r="AM82">
        <v>0.32110000000000216</v>
      </c>
    </row>
    <row r="83" spans="37:39" x14ac:dyDescent="0.2">
      <c r="AK83">
        <v>48</v>
      </c>
      <c r="AL83">
        <v>5.6263999999999976</v>
      </c>
      <c r="AM83">
        <v>-0.15639999999999787</v>
      </c>
    </row>
    <row r="84" spans="37:39" x14ac:dyDescent="0.2">
      <c r="AK84">
        <v>49</v>
      </c>
      <c r="AL84">
        <v>5.2998666666666647</v>
      </c>
      <c r="AM84">
        <v>0.16013333333333524</v>
      </c>
    </row>
    <row r="85" spans="37:39" x14ac:dyDescent="0.2">
      <c r="AK85">
        <v>50</v>
      </c>
      <c r="AL85">
        <v>5.3978666666666646</v>
      </c>
      <c r="AM85">
        <v>0.22213333333333551</v>
      </c>
    </row>
    <row r="86" spans="37:39" ht="16" thickBot="1" x14ac:dyDescent="0.25">
      <c r="AK86" s="2">
        <v>51</v>
      </c>
      <c r="AL86" s="2">
        <v>5.2358666666666647</v>
      </c>
      <c r="AM86" s="2">
        <v>-0.18586666666666485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3B048-9BCF-4887-B6C4-F2E5967CB211}">
  <sheetPr codeName="Sheet4"/>
  <dimension ref="A1:AS86"/>
  <sheetViews>
    <sheetView topLeftCell="S1" zoomScale="80" zoomScaleNormal="80" workbookViewId="0">
      <selection activeCell="U15" sqref="U15"/>
    </sheetView>
  </sheetViews>
  <sheetFormatPr baseColWidth="10" defaultColWidth="8.83203125" defaultRowHeight="15" x14ac:dyDescent="0.2"/>
  <cols>
    <col min="1" max="1" width="11.6640625" style="6" customWidth="1"/>
    <col min="2" max="2" width="13.1640625" bestFit="1" customWidth="1"/>
  </cols>
  <sheetData>
    <row r="1" spans="1:45" x14ac:dyDescent="0.2">
      <c r="A1" s="6" t="s">
        <v>0</v>
      </c>
      <c r="B1" t="s">
        <v>48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35</v>
      </c>
      <c r="I1" t="s">
        <v>3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Z1" t="s">
        <v>7</v>
      </c>
      <c r="AK1" t="s">
        <v>7</v>
      </c>
    </row>
    <row r="2" spans="1:45" ht="16" thickBot="1" x14ac:dyDescent="0.25">
      <c r="A2" s="7">
        <v>43831</v>
      </c>
      <c r="B2">
        <v>4.79</v>
      </c>
      <c r="C2">
        <f>ROUNDUP(MONTH(A2)/3,0)</f>
        <v>1</v>
      </c>
      <c r="D2">
        <v>1</v>
      </c>
      <c r="E2">
        <f>IF(C2=1,1,0)</f>
        <v>1</v>
      </c>
      <c r="F2">
        <f>IF(C2=2,1,0)</f>
        <v>0</v>
      </c>
      <c r="G2">
        <f>IF(C2=3,1,0)</f>
        <v>0</v>
      </c>
      <c r="H2">
        <f>MONTH(A2)</f>
        <v>1</v>
      </c>
      <c r="I2">
        <v>1</v>
      </c>
      <c r="J2">
        <f>IF(H2=1,1,0)</f>
        <v>1</v>
      </c>
      <c r="K2">
        <f>IF(H2=2,1,0)</f>
        <v>0</v>
      </c>
      <c r="L2">
        <f>IF(H2=3,1,0)</f>
        <v>0</v>
      </c>
      <c r="M2">
        <f>IF(H2=4,1,0)</f>
        <v>0</v>
      </c>
      <c r="N2">
        <f>IF(H2=5,1,0)</f>
        <v>0</v>
      </c>
      <c r="O2">
        <f>IF(H2=6,1,0)</f>
        <v>0</v>
      </c>
      <c r="P2">
        <f>IF(H2=7,1,0)</f>
        <v>0</v>
      </c>
      <c r="Q2">
        <f>IF(H2=8,1,0)</f>
        <v>0</v>
      </c>
      <c r="R2">
        <f>IF(H2=9,1,0)</f>
        <v>0</v>
      </c>
      <c r="S2">
        <f>IF(H2=10,1,0)</f>
        <v>0</v>
      </c>
      <c r="T2">
        <f>IF(H2=11,1,0)</f>
        <v>0</v>
      </c>
    </row>
    <row r="3" spans="1:45" x14ac:dyDescent="0.2">
      <c r="A3" s="7">
        <v>43862</v>
      </c>
      <c r="B3">
        <v>4.7</v>
      </c>
      <c r="C3">
        <f t="shared" ref="C3:C52" si="0">ROUNDUP(MONTH(A3)/3,0)</f>
        <v>1</v>
      </c>
      <c r="D3">
        <v>2</v>
      </c>
      <c r="E3">
        <f t="shared" ref="E3:E52" si="1">IF(C3=1,1,0)</f>
        <v>1</v>
      </c>
      <c r="F3">
        <f t="shared" ref="F3:F52" si="2">IF(C3=2,1,0)</f>
        <v>0</v>
      </c>
      <c r="G3">
        <f t="shared" ref="G3:G52" si="3">IF(C3=3,1,0)</f>
        <v>0</v>
      </c>
      <c r="H3">
        <f t="shared" ref="H3:H52" si="4">MONTH(A3)</f>
        <v>2</v>
      </c>
      <c r="I3">
        <v>2</v>
      </c>
      <c r="J3">
        <f t="shared" ref="J3:J52" si="5">IF(H3=1,1,0)</f>
        <v>0</v>
      </c>
      <c r="K3">
        <f t="shared" ref="K3:K52" si="6">IF(H3=2,1,0)</f>
        <v>1</v>
      </c>
      <c r="L3">
        <f t="shared" ref="L3:L52" si="7">IF(H3=3,1,0)</f>
        <v>0</v>
      </c>
      <c r="M3">
        <f t="shared" ref="M3:M52" si="8">IF(H3=4,1,0)</f>
        <v>0</v>
      </c>
      <c r="N3">
        <f t="shared" ref="N3:N52" si="9">IF(H3=5,1,0)</f>
        <v>0</v>
      </c>
      <c r="O3">
        <f t="shared" ref="O3:O52" si="10">IF(H3=6,1,0)</f>
        <v>0</v>
      </c>
      <c r="P3">
        <f t="shared" ref="P3:P52" si="11">IF(H3=7,1,0)</f>
        <v>0</v>
      </c>
      <c r="Q3">
        <f t="shared" ref="Q3:Q52" si="12">IF(H3=8,1,0)</f>
        <v>0</v>
      </c>
      <c r="R3">
        <f t="shared" ref="R3:R52" si="13">IF(H3=9,1,0)</f>
        <v>0</v>
      </c>
      <c r="S3">
        <f t="shared" ref="S3:S52" si="14">IF(H3=10,1,0)</f>
        <v>0</v>
      </c>
      <c r="T3">
        <f t="shared" ref="T3:T52" si="15">IF(H3=11,1,0)</f>
        <v>0</v>
      </c>
      <c r="Z3" s="4" t="s">
        <v>8</v>
      </c>
      <c r="AA3" s="4"/>
      <c r="AK3" s="4" t="s">
        <v>8</v>
      </c>
      <c r="AL3" s="4"/>
    </row>
    <row r="4" spans="1:45" x14ac:dyDescent="0.2">
      <c r="A4" s="7">
        <v>43891</v>
      </c>
      <c r="B4">
        <v>4.09</v>
      </c>
      <c r="C4">
        <f t="shared" si="0"/>
        <v>1</v>
      </c>
      <c r="D4">
        <v>3</v>
      </c>
      <c r="E4">
        <f t="shared" si="1"/>
        <v>1</v>
      </c>
      <c r="F4">
        <f t="shared" si="2"/>
        <v>0</v>
      </c>
      <c r="G4">
        <f t="shared" si="3"/>
        <v>0</v>
      </c>
      <c r="H4">
        <f t="shared" si="4"/>
        <v>3</v>
      </c>
      <c r="I4">
        <v>3</v>
      </c>
      <c r="J4">
        <f t="shared" si="5"/>
        <v>0</v>
      </c>
      <c r="K4">
        <f t="shared" si="6"/>
        <v>0</v>
      </c>
      <c r="L4">
        <f t="shared" si="7"/>
        <v>1</v>
      </c>
      <c r="M4">
        <f t="shared" si="8"/>
        <v>0</v>
      </c>
      <c r="N4">
        <f t="shared" si="9"/>
        <v>0</v>
      </c>
      <c r="O4">
        <f t="shared" si="10"/>
        <v>0</v>
      </c>
      <c r="P4">
        <f t="shared" si="11"/>
        <v>0</v>
      </c>
      <c r="Q4">
        <f t="shared" si="12"/>
        <v>0</v>
      </c>
      <c r="R4">
        <f t="shared" si="13"/>
        <v>0</v>
      </c>
      <c r="S4">
        <f t="shared" si="14"/>
        <v>0</v>
      </c>
      <c r="T4">
        <f t="shared" si="15"/>
        <v>0</v>
      </c>
      <c r="Z4" t="s">
        <v>9</v>
      </c>
      <c r="AA4">
        <v>0.45830754373819199</v>
      </c>
      <c r="AD4" t="s">
        <v>32</v>
      </c>
      <c r="AE4" t="s">
        <v>54</v>
      </c>
      <c r="AK4" t="s">
        <v>9</v>
      </c>
      <c r="AL4">
        <v>0.55120403655414729</v>
      </c>
      <c r="AO4" t="s">
        <v>32</v>
      </c>
      <c r="AP4" t="s">
        <v>54</v>
      </c>
    </row>
    <row r="5" spans="1:45" x14ac:dyDescent="0.2">
      <c r="A5" s="7">
        <v>43922</v>
      </c>
      <c r="B5">
        <v>4.37</v>
      </c>
      <c r="C5">
        <f t="shared" si="0"/>
        <v>2</v>
      </c>
      <c r="D5">
        <v>4</v>
      </c>
      <c r="E5">
        <f t="shared" si="1"/>
        <v>0</v>
      </c>
      <c r="F5">
        <f t="shared" si="2"/>
        <v>1</v>
      </c>
      <c r="G5">
        <f t="shared" si="3"/>
        <v>0</v>
      </c>
      <c r="H5">
        <f t="shared" si="4"/>
        <v>4</v>
      </c>
      <c r="I5">
        <v>4</v>
      </c>
      <c r="J5">
        <f t="shared" si="5"/>
        <v>0</v>
      </c>
      <c r="K5">
        <f t="shared" si="6"/>
        <v>0</v>
      </c>
      <c r="L5">
        <f t="shared" si="7"/>
        <v>0</v>
      </c>
      <c r="M5">
        <f t="shared" si="8"/>
        <v>1</v>
      </c>
      <c r="N5">
        <f t="shared" si="9"/>
        <v>0</v>
      </c>
      <c r="O5">
        <f t="shared" si="10"/>
        <v>0</v>
      </c>
      <c r="P5">
        <f t="shared" si="11"/>
        <v>0</v>
      </c>
      <c r="Q5">
        <f t="shared" si="12"/>
        <v>0</v>
      </c>
      <c r="R5">
        <f t="shared" si="13"/>
        <v>0</v>
      </c>
      <c r="S5">
        <f t="shared" si="14"/>
        <v>0</v>
      </c>
      <c r="T5">
        <f t="shared" si="15"/>
        <v>0</v>
      </c>
      <c r="Z5" t="s">
        <v>10</v>
      </c>
      <c r="AA5">
        <v>0.21004580464733477</v>
      </c>
      <c r="AD5">
        <v>52</v>
      </c>
      <c r="AE5">
        <f>$AA$18*AD5+$AA$17</f>
        <v>4.7014102209094846</v>
      </c>
      <c r="AK5" t="s">
        <v>10</v>
      </c>
      <c r="AL5">
        <v>0.30382588991358578</v>
      </c>
      <c r="AO5">
        <v>52</v>
      </c>
      <c r="AP5">
        <f>$AL$18*AO5+$AL$17</f>
        <v>4.7458888888888895</v>
      </c>
    </row>
    <row r="6" spans="1:45" x14ac:dyDescent="0.2">
      <c r="A6" s="7">
        <v>43952</v>
      </c>
      <c r="B6">
        <v>4.41</v>
      </c>
      <c r="C6">
        <f t="shared" si="0"/>
        <v>2</v>
      </c>
      <c r="D6">
        <v>5</v>
      </c>
      <c r="E6">
        <f t="shared" si="1"/>
        <v>0</v>
      </c>
      <c r="F6">
        <f t="shared" si="2"/>
        <v>1</v>
      </c>
      <c r="G6">
        <f t="shared" si="3"/>
        <v>0</v>
      </c>
      <c r="H6">
        <f t="shared" si="4"/>
        <v>5</v>
      </c>
      <c r="I6">
        <v>5</v>
      </c>
      <c r="J6">
        <f t="shared" si="5"/>
        <v>0</v>
      </c>
      <c r="K6">
        <f t="shared" si="6"/>
        <v>0</v>
      </c>
      <c r="L6">
        <f t="shared" si="7"/>
        <v>0</v>
      </c>
      <c r="M6">
        <f t="shared" si="8"/>
        <v>0</v>
      </c>
      <c r="N6">
        <f t="shared" si="9"/>
        <v>1</v>
      </c>
      <c r="O6">
        <f t="shared" si="10"/>
        <v>0</v>
      </c>
      <c r="P6">
        <f t="shared" si="11"/>
        <v>0</v>
      </c>
      <c r="Q6">
        <f t="shared" si="12"/>
        <v>0</v>
      </c>
      <c r="R6">
        <f t="shared" si="13"/>
        <v>0</v>
      </c>
      <c r="S6">
        <f t="shared" si="14"/>
        <v>0</v>
      </c>
      <c r="T6">
        <f t="shared" si="15"/>
        <v>0</v>
      </c>
      <c r="Z6" t="s">
        <v>11</v>
      </c>
      <c r="AA6">
        <v>0.14135413548623343</v>
      </c>
      <c r="AC6" t="s">
        <v>53</v>
      </c>
      <c r="AD6">
        <v>53</v>
      </c>
      <c r="AE6">
        <f t="shared" ref="AE6:AE7" si="16">$AA$18*AD6+$AA$17</f>
        <v>4.7046961725432297</v>
      </c>
      <c r="AK6" t="s">
        <v>11</v>
      </c>
      <c r="AL6">
        <v>8.398143409682339E-2</v>
      </c>
      <c r="AN6" t="s">
        <v>53</v>
      </c>
      <c r="AO6">
        <v>53</v>
      </c>
      <c r="AP6">
        <f t="shared" ref="AP6:AP7" si="17">$AL$18*AO6+$AL$17</f>
        <v>4.7491111111111115</v>
      </c>
    </row>
    <row r="7" spans="1:45" x14ac:dyDescent="0.2">
      <c r="A7" s="7">
        <v>43983</v>
      </c>
      <c r="B7">
        <v>4.34</v>
      </c>
      <c r="C7">
        <f t="shared" si="0"/>
        <v>2</v>
      </c>
      <c r="D7">
        <v>6</v>
      </c>
      <c r="E7">
        <f t="shared" si="1"/>
        <v>0</v>
      </c>
      <c r="F7">
        <f t="shared" si="2"/>
        <v>1</v>
      </c>
      <c r="G7">
        <f t="shared" si="3"/>
        <v>0</v>
      </c>
      <c r="H7">
        <f t="shared" si="4"/>
        <v>6</v>
      </c>
      <c r="I7">
        <v>6</v>
      </c>
      <c r="J7">
        <f t="shared" si="5"/>
        <v>0</v>
      </c>
      <c r="K7">
        <f t="shared" si="6"/>
        <v>0</v>
      </c>
      <c r="L7">
        <f t="shared" si="7"/>
        <v>0</v>
      </c>
      <c r="M7">
        <f t="shared" si="8"/>
        <v>0</v>
      </c>
      <c r="N7">
        <f t="shared" si="9"/>
        <v>0</v>
      </c>
      <c r="O7">
        <f t="shared" si="10"/>
        <v>1</v>
      </c>
      <c r="P7">
        <f t="shared" si="11"/>
        <v>0</v>
      </c>
      <c r="Q7">
        <f t="shared" si="12"/>
        <v>0</v>
      </c>
      <c r="R7">
        <f t="shared" si="13"/>
        <v>0</v>
      </c>
      <c r="S7">
        <f t="shared" si="14"/>
        <v>0</v>
      </c>
      <c r="T7">
        <f t="shared" si="15"/>
        <v>0</v>
      </c>
      <c r="Z7" t="s">
        <v>12</v>
      </c>
      <c r="AA7">
        <v>0.23244463834436632</v>
      </c>
      <c r="AC7">
        <f>AB13/AA8</f>
        <v>4.8733401081803719E-2</v>
      </c>
      <c r="AD7">
        <v>54</v>
      </c>
      <c r="AE7">
        <f t="shared" si="16"/>
        <v>4.7079821241769757</v>
      </c>
      <c r="AK7" t="s">
        <v>12</v>
      </c>
      <c r="AL7">
        <v>0.24008478034724726</v>
      </c>
      <c r="AN7">
        <f>AM13/AL8</f>
        <v>4.2947973856209153E-2</v>
      </c>
      <c r="AO7">
        <v>54</v>
      </c>
      <c r="AP7">
        <f t="shared" si="17"/>
        <v>4.7523333333333335</v>
      </c>
    </row>
    <row r="8" spans="1:45" ht="16" thickBot="1" x14ac:dyDescent="0.25">
      <c r="A8" s="7">
        <v>44013</v>
      </c>
      <c r="B8">
        <v>4.16</v>
      </c>
      <c r="C8">
        <f t="shared" si="0"/>
        <v>3</v>
      </c>
      <c r="D8">
        <v>7</v>
      </c>
      <c r="E8">
        <f t="shared" si="1"/>
        <v>0</v>
      </c>
      <c r="F8">
        <f t="shared" si="2"/>
        <v>0</v>
      </c>
      <c r="G8">
        <f t="shared" si="3"/>
        <v>1</v>
      </c>
      <c r="H8">
        <f t="shared" si="4"/>
        <v>7</v>
      </c>
      <c r="I8">
        <v>7</v>
      </c>
      <c r="J8">
        <f t="shared" si="5"/>
        <v>0</v>
      </c>
      <c r="K8">
        <f t="shared" si="6"/>
        <v>0</v>
      </c>
      <c r="L8">
        <f t="shared" si="7"/>
        <v>0</v>
      </c>
      <c r="M8">
        <f t="shared" si="8"/>
        <v>0</v>
      </c>
      <c r="N8">
        <f t="shared" si="9"/>
        <v>0</v>
      </c>
      <c r="O8">
        <f t="shared" si="10"/>
        <v>0</v>
      </c>
      <c r="P8">
        <f t="shared" si="11"/>
        <v>1</v>
      </c>
      <c r="Q8">
        <f t="shared" si="12"/>
        <v>0</v>
      </c>
      <c r="R8">
        <f t="shared" si="13"/>
        <v>0</v>
      </c>
      <c r="S8">
        <f t="shared" si="14"/>
        <v>0</v>
      </c>
      <c r="T8">
        <f t="shared" si="15"/>
        <v>0</v>
      </c>
      <c r="Z8" s="5" t="s">
        <v>13</v>
      </c>
      <c r="AA8" s="5">
        <v>51</v>
      </c>
      <c r="AK8" s="5" t="s">
        <v>13</v>
      </c>
      <c r="AL8" s="5">
        <v>51</v>
      </c>
    </row>
    <row r="9" spans="1:45" x14ac:dyDescent="0.2">
      <c r="A9" s="7">
        <v>44044</v>
      </c>
      <c r="B9">
        <v>4</v>
      </c>
      <c r="C9">
        <f t="shared" si="0"/>
        <v>3</v>
      </c>
      <c r="D9">
        <v>8</v>
      </c>
      <c r="E9">
        <f t="shared" si="1"/>
        <v>0</v>
      </c>
      <c r="F9">
        <f t="shared" si="2"/>
        <v>0</v>
      </c>
      <c r="G9">
        <f t="shared" si="3"/>
        <v>1</v>
      </c>
      <c r="H9">
        <f t="shared" si="4"/>
        <v>8</v>
      </c>
      <c r="I9">
        <v>8</v>
      </c>
      <c r="J9">
        <f t="shared" si="5"/>
        <v>0</v>
      </c>
      <c r="K9">
        <f t="shared" si="6"/>
        <v>0</v>
      </c>
      <c r="L9">
        <f t="shared" si="7"/>
        <v>0</v>
      </c>
      <c r="M9">
        <f t="shared" si="8"/>
        <v>0</v>
      </c>
      <c r="N9">
        <f t="shared" si="9"/>
        <v>0</v>
      </c>
      <c r="O9">
        <f t="shared" si="10"/>
        <v>0</v>
      </c>
      <c r="P9">
        <f t="shared" si="11"/>
        <v>0</v>
      </c>
      <c r="Q9">
        <f t="shared" si="12"/>
        <v>1</v>
      </c>
      <c r="R9">
        <f t="shared" si="13"/>
        <v>0</v>
      </c>
      <c r="S9">
        <f t="shared" si="14"/>
        <v>0</v>
      </c>
      <c r="T9">
        <f t="shared" si="15"/>
        <v>0</v>
      </c>
    </row>
    <row r="10" spans="1:45" ht="16" thickBot="1" x14ac:dyDescent="0.25">
      <c r="A10" s="7">
        <v>44075</v>
      </c>
      <c r="B10">
        <v>4.4800000000000004</v>
      </c>
      <c r="C10">
        <f t="shared" si="0"/>
        <v>3</v>
      </c>
      <c r="D10">
        <v>9</v>
      </c>
      <c r="E10">
        <f t="shared" si="1"/>
        <v>0</v>
      </c>
      <c r="F10">
        <f t="shared" si="2"/>
        <v>0</v>
      </c>
      <c r="G10">
        <f t="shared" si="3"/>
        <v>1</v>
      </c>
      <c r="H10">
        <f t="shared" si="4"/>
        <v>9</v>
      </c>
      <c r="I10">
        <v>9</v>
      </c>
      <c r="J10">
        <f t="shared" si="5"/>
        <v>0</v>
      </c>
      <c r="K10">
        <f t="shared" si="6"/>
        <v>0</v>
      </c>
      <c r="L10">
        <f t="shared" si="7"/>
        <v>0</v>
      </c>
      <c r="M10">
        <f t="shared" si="8"/>
        <v>0</v>
      </c>
      <c r="N10">
        <f t="shared" si="9"/>
        <v>0</v>
      </c>
      <c r="O10">
        <f t="shared" si="10"/>
        <v>0</v>
      </c>
      <c r="P10">
        <f t="shared" si="11"/>
        <v>0</v>
      </c>
      <c r="Q10">
        <f t="shared" si="12"/>
        <v>0</v>
      </c>
      <c r="R10">
        <f t="shared" si="13"/>
        <v>1</v>
      </c>
      <c r="S10">
        <f t="shared" si="14"/>
        <v>0</v>
      </c>
      <c r="T10">
        <f t="shared" si="15"/>
        <v>0</v>
      </c>
      <c r="Z10" t="s">
        <v>14</v>
      </c>
      <c r="AK10" t="s">
        <v>14</v>
      </c>
    </row>
    <row r="11" spans="1:45" x14ac:dyDescent="0.2">
      <c r="A11" s="7">
        <v>44105</v>
      </c>
      <c r="B11">
        <v>4.68</v>
      </c>
      <c r="C11">
        <f t="shared" si="0"/>
        <v>4</v>
      </c>
      <c r="D11">
        <v>10</v>
      </c>
      <c r="E11">
        <f t="shared" si="1"/>
        <v>0</v>
      </c>
      <c r="F11">
        <f t="shared" si="2"/>
        <v>0</v>
      </c>
      <c r="G11">
        <f t="shared" si="3"/>
        <v>0</v>
      </c>
      <c r="H11">
        <f t="shared" si="4"/>
        <v>10</v>
      </c>
      <c r="I11">
        <v>10</v>
      </c>
      <c r="J11">
        <f t="shared" si="5"/>
        <v>0</v>
      </c>
      <c r="K11">
        <f t="shared" si="6"/>
        <v>0</v>
      </c>
      <c r="L11">
        <f t="shared" si="7"/>
        <v>0</v>
      </c>
      <c r="M11">
        <f t="shared" si="8"/>
        <v>0</v>
      </c>
      <c r="N11">
        <f t="shared" si="9"/>
        <v>0</v>
      </c>
      <c r="O11">
        <f t="shared" si="10"/>
        <v>0</v>
      </c>
      <c r="P11">
        <f t="shared" si="11"/>
        <v>0</v>
      </c>
      <c r="Q11">
        <f t="shared" si="12"/>
        <v>0</v>
      </c>
      <c r="R11">
        <f t="shared" si="13"/>
        <v>0</v>
      </c>
      <c r="S11">
        <f t="shared" si="14"/>
        <v>1</v>
      </c>
      <c r="T11">
        <f t="shared" si="15"/>
        <v>0</v>
      </c>
      <c r="Z11" s="3"/>
      <c r="AA11" s="3" t="s">
        <v>19</v>
      </c>
      <c r="AB11" s="3" t="s">
        <v>20</v>
      </c>
      <c r="AC11" s="3" t="s">
        <v>21</v>
      </c>
      <c r="AD11" s="3" t="s">
        <v>22</v>
      </c>
      <c r="AE11" s="3" t="s">
        <v>23</v>
      </c>
      <c r="AK11" s="3"/>
      <c r="AL11" s="3" t="s">
        <v>19</v>
      </c>
      <c r="AM11" s="3" t="s">
        <v>20</v>
      </c>
      <c r="AN11" s="3" t="s">
        <v>21</v>
      </c>
      <c r="AO11" s="3" t="s">
        <v>22</v>
      </c>
      <c r="AP11" s="3" t="s">
        <v>23</v>
      </c>
    </row>
    <row r="12" spans="1:45" x14ac:dyDescent="0.2">
      <c r="A12" s="7">
        <v>44136</v>
      </c>
      <c r="B12">
        <v>4.75</v>
      </c>
      <c r="C12">
        <f t="shared" si="0"/>
        <v>4</v>
      </c>
      <c r="D12">
        <v>11</v>
      </c>
      <c r="E12">
        <f t="shared" si="1"/>
        <v>0</v>
      </c>
      <c r="F12">
        <f t="shared" si="2"/>
        <v>0</v>
      </c>
      <c r="G12">
        <f t="shared" si="3"/>
        <v>0</v>
      </c>
      <c r="H12">
        <f t="shared" si="4"/>
        <v>11</v>
      </c>
      <c r="I12">
        <v>11</v>
      </c>
      <c r="J12">
        <f t="shared" si="5"/>
        <v>0</v>
      </c>
      <c r="K12">
        <f t="shared" si="6"/>
        <v>0</v>
      </c>
      <c r="L12">
        <f t="shared" si="7"/>
        <v>0</v>
      </c>
      <c r="M12">
        <f t="shared" si="8"/>
        <v>0</v>
      </c>
      <c r="N12">
        <f t="shared" si="9"/>
        <v>0</v>
      </c>
      <c r="O12">
        <f t="shared" si="10"/>
        <v>0</v>
      </c>
      <c r="P12">
        <f t="shared" si="11"/>
        <v>0</v>
      </c>
      <c r="Q12">
        <f t="shared" si="12"/>
        <v>0</v>
      </c>
      <c r="R12">
        <f t="shared" si="13"/>
        <v>0</v>
      </c>
      <c r="S12">
        <f t="shared" si="14"/>
        <v>0</v>
      </c>
      <c r="T12">
        <f t="shared" si="15"/>
        <v>1</v>
      </c>
      <c r="Z12" t="s">
        <v>15</v>
      </c>
      <c r="AA12">
        <v>4</v>
      </c>
      <c r="AB12">
        <v>0.66085928992605014</v>
      </c>
      <c r="AC12">
        <v>0.16521482248151254</v>
      </c>
      <c r="AD12">
        <v>3.0578060951571606</v>
      </c>
      <c r="AE12">
        <v>2.5738957618603054E-2</v>
      </c>
      <c r="AK12" t="s">
        <v>15</v>
      </c>
      <c r="AL12">
        <v>12</v>
      </c>
      <c r="AM12">
        <v>0.95591607843137316</v>
      </c>
      <c r="AN12">
        <v>7.9659673202614426E-2</v>
      </c>
      <c r="AO12">
        <v>1.3820038753527668</v>
      </c>
      <c r="AP12">
        <v>0.21679418100700235</v>
      </c>
    </row>
    <row r="13" spans="1:45" x14ac:dyDescent="0.2">
      <c r="A13" s="7">
        <v>44166</v>
      </c>
      <c r="B13">
        <v>4.4800000000000004</v>
      </c>
      <c r="C13">
        <f t="shared" si="0"/>
        <v>4</v>
      </c>
      <c r="D13">
        <v>12</v>
      </c>
      <c r="E13">
        <f t="shared" si="1"/>
        <v>0</v>
      </c>
      <c r="F13">
        <f t="shared" si="2"/>
        <v>0</v>
      </c>
      <c r="G13">
        <f t="shared" si="3"/>
        <v>0</v>
      </c>
      <c r="H13">
        <f t="shared" si="4"/>
        <v>12</v>
      </c>
      <c r="I13">
        <v>12</v>
      </c>
      <c r="J13">
        <f t="shared" si="5"/>
        <v>0</v>
      </c>
      <c r="K13">
        <f t="shared" si="6"/>
        <v>0</v>
      </c>
      <c r="L13">
        <f t="shared" si="7"/>
        <v>0</v>
      </c>
      <c r="M13">
        <f t="shared" si="8"/>
        <v>0</v>
      </c>
      <c r="N13">
        <f t="shared" si="9"/>
        <v>0</v>
      </c>
      <c r="O13">
        <f t="shared" si="10"/>
        <v>0</v>
      </c>
      <c r="P13">
        <f t="shared" si="11"/>
        <v>0</v>
      </c>
      <c r="Q13">
        <f t="shared" si="12"/>
        <v>0</v>
      </c>
      <c r="R13">
        <f t="shared" si="13"/>
        <v>0</v>
      </c>
      <c r="S13">
        <f t="shared" si="14"/>
        <v>0</v>
      </c>
      <c r="T13">
        <f t="shared" si="15"/>
        <v>0</v>
      </c>
      <c r="Z13" t="s">
        <v>16</v>
      </c>
      <c r="AA13">
        <v>46</v>
      </c>
      <c r="AB13" s="1">
        <v>2.4854034551719897</v>
      </c>
      <c r="AC13">
        <v>5.4030509895043252E-2</v>
      </c>
      <c r="AK13" t="s">
        <v>16</v>
      </c>
      <c r="AL13">
        <v>38</v>
      </c>
      <c r="AM13" s="1">
        <v>2.1903466666666667</v>
      </c>
      <c r="AN13">
        <v>5.7640701754385966E-2</v>
      </c>
    </row>
    <row r="14" spans="1:45" ht="16" thickBot="1" x14ac:dyDescent="0.25">
      <c r="A14" s="7">
        <v>44197</v>
      </c>
      <c r="B14">
        <v>4.53</v>
      </c>
      <c r="C14">
        <f t="shared" si="0"/>
        <v>1</v>
      </c>
      <c r="D14">
        <v>13</v>
      </c>
      <c r="E14">
        <f t="shared" si="1"/>
        <v>1</v>
      </c>
      <c r="F14">
        <f t="shared" si="2"/>
        <v>0</v>
      </c>
      <c r="G14">
        <f t="shared" si="3"/>
        <v>0</v>
      </c>
      <c r="H14">
        <f t="shared" si="4"/>
        <v>1</v>
      </c>
      <c r="I14">
        <v>13</v>
      </c>
      <c r="J14">
        <f t="shared" si="5"/>
        <v>1</v>
      </c>
      <c r="K14">
        <f t="shared" si="6"/>
        <v>0</v>
      </c>
      <c r="L14">
        <f t="shared" si="7"/>
        <v>0</v>
      </c>
      <c r="M14">
        <f t="shared" si="8"/>
        <v>0</v>
      </c>
      <c r="N14">
        <f t="shared" si="9"/>
        <v>0</v>
      </c>
      <c r="O14">
        <f t="shared" si="10"/>
        <v>0</v>
      </c>
      <c r="P14">
        <f t="shared" si="11"/>
        <v>0</v>
      </c>
      <c r="Q14">
        <f t="shared" si="12"/>
        <v>0</v>
      </c>
      <c r="R14">
        <f t="shared" si="13"/>
        <v>0</v>
      </c>
      <c r="S14">
        <f t="shared" si="14"/>
        <v>0</v>
      </c>
      <c r="T14">
        <f t="shared" si="15"/>
        <v>0</v>
      </c>
      <c r="Z14" s="2" t="s">
        <v>17</v>
      </c>
      <c r="AA14" s="2">
        <v>50</v>
      </c>
      <c r="AB14" s="2">
        <v>3.1462627450980398</v>
      </c>
      <c r="AC14" s="2"/>
      <c r="AD14" s="2"/>
      <c r="AE14" s="2"/>
      <c r="AK14" s="2" t="s">
        <v>17</v>
      </c>
      <c r="AL14" s="2">
        <v>50</v>
      </c>
      <c r="AM14" s="2">
        <v>3.1462627450980398</v>
      </c>
      <c r="AN14" s="2"/>
      <c r="AO14" s="2"/>
      <c r="AP14" s="2"/>
    </row>
    <row r="15" spans="1:45" ht="16" thickBot="1" x14ac:dyDescent="0.25">
      <c r="A15" s="7">
        <v>44228</v>
      </c>
      <c r="B15">
        <v>4.59</v>
      </c>
      <c r="C15">
        <f t="shared" si="0"/>
        <v>1</v>
      </c>
      <c r="D15">
        <v>14</v>
      </c>
      <c r="E15">
        <f t="shared" si="1"/>
        <v>1</v>
      </c>
      <c r="F15">
        <f t="shared" si="2"/>
        <v>0</v>
      </c>
      <c r="G15">
        <f t="shared" si="3"/>
        <v>0</v>
      </c>
      <c r="H15">
        <f t="shared" si="4"/>
        <v>2</v>
      </c>
      <c r="I15">
        <v>14</v>
      </c>
      <c r="J15">
        <f t="shared" si="5"/>
        <v>0</v>
      </c>
      <c r="K15">
        <f t="shared" si="6"/>
        <v>1</v>
      </c>
      <c r="L15">
        <f t="shared" si="7"/>
        <v>0</v>
      </c>
      <c r="M15">
        <f t="shared" si="8"/>
        <v>0</v>
      </c>
      <c r="N15">
        <f t="shared" si="9"/>
        <v>0</v>
      </c>
      <c r="O15">
        <f t="shared" si="10"/>
        <v>0</v>
      </c>
      <c r="P15">
        <f t="shared" si="11"/>
        <v>0</v>
      </c>
      <c r="Q15">
        <f t="shared" si="12"/>
        <v>0</v>
      </c>
      <c r="R15">
        <f t="shared" si="13"/>
        <v>0</v>
      </c>
      <c r="S15">
        <f t="shared" si="14"/>
        <v>0</v>
      </c>
      <c r="T15">
        <f t="shared" si="15"/>
        <v>0</v>
      </c>
    </row>
    <row r="16" spans="1:45" x14ac:dyDescent="0.2">
      <c r="A16" s="7">
        <v>44256</v>
      </c>
      <c r="B16">
        <v>4.82</v>
      </c>
      <c r="C16">
        <f t="shared" si="0"/>
        <v>1</v>
      </c>
      <c r="D16">
        <v>15</v>
      </c>
      <c r="E16">
        <f t="shared" si="1"/>
        <v>1</v>
      </c>
      <c r="F16">
        <f t="shared" si="2"/>
        <v>0</v>
      </c>
      <c r="G16">
        <f t="shared" si="3"/>
        <v>0</v>
      </c>
      <c r="H16">
        <f t="shared" si="4"/>
        <v>3</v>
      </c>
      <c r="I16">
        <v>15</v>
      </c>
      <c r="J16">
        <f t="shared" si="5"/>
        <v>0</v>
      </c>
      <c r="K16">
        <f t="shared" si="6"/>
        <v>0</v>
      </c>
      <c r="L16">
        <f t="shared" si="7"/>
        <v>1</v>
      </c>
      <c r="M16">
        <f t="shared" si="8"/>
        <v>0</v>
      </c>
      <c r="N16">
        <f t="shared" si="9"/>
        <v>0</v>
      </c>
      <c r="O16">
        <f t="shared" si="10"/>
        <v>0</v>
      </c>
      <c r="P16">
        <f t="shared" si="11"/>
        <v>0</v>
      </c>
      <c r="Q16">
        <f t="shared" si="12"/>
        <v>0</v>
      </c>
      <c r="R16">
        <f t="shared" si="13"/>
        <v>0</v>
      </c>
      <c r="S16">
        <f t="shared" si="14"/>
        <v>0</v>
      </c>
      <c r="T16">
        <f t="shared" si="15"/>
        <v>0</v>
      </c>
      <c r="Z16" s="3"/>
      <c r="AA16" s="3" t="s">
        <v>24</v>
      </c>
      <c r="AB16" s="3" t="s">
        <v>12</v>
      </c>
      <c r="AC16" s="3" t="s">
        <v>25</v>
      </c>
      <c r="AD16" s="3" t="s">
        <v>26</v>
      </c>
      <c r="AE16" s="3" t="s">
        <v>27</v>
      </c>
      <c r="AF16" s="3" t="s">
        <v>28</v>
      </c>
      <c r="AG16" s="3" t="s">
        <v>29</v>
      </c>
      <c r="AH16" s="3" t="s">
        <v>30</v>
      </c>
      <c r="AK16" s="3"/>
      <c r="AL16" s="3" t="s">
        <v>24</v>
      </c>
      <c r="AM16" s="3" t="s">
        <v>12</v>
      </c>
      <c r="AN16" s="3" t="s">
        <v>25</v>
      </c>
      <c r="AO16" s="3" t="s">
        <v>26</v>
      </c>
      <c r="AP16" s="3" t="s">
        <v>27</v>
      </c>
      <c r="AQ16" s="3" t="s">
        <v>28</v>
      </c>
      <c r="AR16" s="3" t="s">
        <v>29</v>
      </c>
      <c r="AS16" s="3" t="s">
        <v>30</v>
      </c>
    </row>
    <row r="17" spans="1:45" x14ac:dyDescent="0.2">
      <c r="A17" s="7">
        <v>44287</v>
      </c>
      <c r="B17">
        <v>4.17</v>
      </c>
      <c r="C17">
        <f t="shared" si="0"/>
        <v>2</v>
      </c>
      <c r="D17">
        <v>16</v>
      </c>
      <c r="E17">
        <f t="shared" si="1"/>
        <v>0</v>
      </c>
      <c r="F17">
        <f t="shared" si="2"/>
        <v>1</v>
      </c>
      <c r="G17">
        <f t="shared" si="3"/>
        <v>0</v>
      </c>
      <c r="H17">
        <f t="shared" si="4"/>
        <v>4</v>
      </c>
      <c r="I17">
        <v>16</v>
      </c>
      <c r="J17">
        <f t="shared" si="5"/>
        <v>0</v>
      </c>
      <c r="K17">
        <f t="shared" si="6"/>
        <v>0</v>
      </c>
      <c r="L17">
        <f t="shared" si="7"/>
        <v>0</v>
      </c>
      <c r="M17">
        <f t="shared" si="8"/>
        <v>1</v>
      </c>
      <c r="N17">
        <f t="shared" si="9"/>
        <v>0</v>
      </c>
      <c r="O17">
        <f t="shared" si="10"/>
        <v>0</v>
      </c>
      <c r="P17">
        <f t="shared" si="11"/>
        <v>0</v>
      </c>
      <c r="Q17">
        <f t="shared" si="12"/>
        <v>0</v>
      </c>
      <c r="R17">
        <f t="shared" si="13"/>
        <v>0</v>
      </c>
      <c r="S17">
        <f t="shared" si="14"/>
        <v>0</v>
      </c>
      <c r="T17">
        <f t="shared" si="15"/>
        <v>0</v>
      </c>
      <c r="Z17" t="s">
        <v>18</v>
      </c>
      <c r="AA17">
        <v>4.5305407359547125</v>
      </c>
      <c r="AB17">
        <v>9.3256176382305933E-2</v>
      </c>
      <c r="AC17">
        <v>48.581669458349353</v>
      </c>
      <c r="AD17">
        <v>3.5083723388624932E-41</v>
      </c>
      <c r="AE17">
        <v>4.3428257889427151</v>
      </c>
      <c r="AF17">
        <v>4.7182556829667099</v>
      </c>
      <c r="AG17">
        <v>4.3428257889427151</v>
      </c>
      <c r="AH17">
        <v>4.7182556829667099</v>
      </c>
      <c r="AK17" t="s">
        <v>18</v>
      </c>
      <c r="AL17">
        <v>4.578333333333334</v>
      </c>
      <c r="AM17">
        <v>0.13861301256181544</v>
      </c>
      <c r="AN17">
        <v>33.029607024027378</v>
      </c>
      <c r="AO17">
        <v>1.3529497234187862E-29</v>
      </c>
      <c r="AP17">
        <v>4.2977259596609381</v>
      </c>
      <c r="AQ17">
        <v>4.85894070700573</v>
      </c>
      <c r="AR17">
        <v>4.2977259596609381</v>
      </c>
      <c r="AS17">
        <v>4.85894070700573</v>
      </c>
    </row>
    <row r="18" spans="1:45" x14ac:dyDescent="0.2">
      <c r="A18" s="7">
        <v>44317</v>
      </c>
      <c r="B18">
        <v>4.49</v>
      </c>
      <c r="C18">
        <f t="shared" si="0"/>
        <v>2</v>
      </c>
      <c r="D18">
        <v>17</v>
      </c>
      <c r="E18">
        <f t="shared" si="1"/>
        <v>0</v>
      </c>
      <c r="F18">
        <f t="shared" si="2"/>
        <v>1</v>
      </c>
      <c r="G18">
        <f t="shared" si="3"/>
        <v>0</v>
      </c>
      <c r="H18">
        <f t="shared" si="4"/>
        <v>5</v>
      </c>
      <c r="I18">
        <v>17</v>
      </c>
      <c r="J18">
        <f t="shared" si="5"/>
        <v>0</v>
      </c>
      <c r="K18">
        <f t="shared" si="6"/>
        <v>0</v>
      </c>
      <c r="L18">
        <f t="shared" si="7"/>
        <v>0</v>
      </c>
      <c r="M18">
        <f t="shared" si="8"/>
        <v>0</v>
      </c>
      <c r="N18">
        <f t="shared" si="9"/>
        <v>1</v>
      </c>
      <c r="O18">
        <f t="shared" si="10"/>
        <v>0</v>
      </c>
      <c r="P18">
        <f t="shared" si="11"/>
        <v>0</v>
      </c>
      <c r="Q18">
        <f t="shared" si="12"/>
        <v>0</v>
      </c>
      <c r="R18">
        <f t="shared" si="13"/>
        <v>0</v>
      </c>
      <c r="S18">
        <f t="shared" si="14"/>
        <v>0</v>
      </c>
      <c r="T18">
        <f t="shared" si="15"/>
        <v>0</v>
      </c>
      <c r="Z18" t="s">
        <v>3</v>
      </c>
      <c r="AA18">
        <v>3.2859516337456125E-3</v>
      </c>
      <c r="AB18">
        <v>2.2331871356052438E-3</v>
      </c>
      <c r="AC18">
        <v>1.4714179485254135</v>
      </c>
      <c r="AD18">
        <v>0.14798668758363009</v>
      </c>
      <c r="AE18">
        <v>-1.2092209230776707E-3</v>
      </c>
      <c r="AF18">
        <v>7.7811241905688961E-3</v>
      </c>
      <c r="AG18">
        <v>-1.2092209230776707E-3</v>
      </c>
      <c r="AH18">
        <v>7.7811241905688961E-3</v>
      </c>
      <c r="AK18" t="s">
        <v>3</v>
      </c>
      <c r="AL18">
        <v>3.2222222222222196E-3</v>
      </c>
      <c r="AM18">
        <v>2.3102168760302565E-3</v>
      </c>
      <c r="AN18">
        <v>1.3947704458635506</v>
      </c>
      <c r="AO18">
        <v>0.17118539207960262</v>
      </c>
      <c r="AP18">
        <v>-1.4545673389843752E-3</v>
      </c>
      <c r="AQ18">
        <v>7.8990117834288141E-3</v>
      </c>
      <c r="AR18">
        <v>-1.4545673389843752E-3</v>
      </c>
      <c r="AS18">
        <v>7.8990117834288141E-3</v>
      </c>
    </row>
    <row r="19" spans="1:45" x14ac:dyDescent="0.2">
      <c r="A19" s="7">
        <v>44348</v>
      </c>
      <c r="B19">
        <v>4.59</v>
      </c>
      <c r="C19">
        <f t="shared" si="0"/>
        <v>2</v>
      </c>
      <c r="D19">
        <v>18</v>
      </c>
      <c r="E19">
        <f t="shared" si="1"/>
        <v>0</v>
      </c>
      <c r="F19">
        <f t="shared" si="2"/>
        <v>1</v>
      </c>
      <c r="G19">
        <f t="shared" si="3"/>
        <v>0</v>
      </c>
      <c r="H19">
        <f t="shared" si="4"/>
        <v>6</v>
      </c>
      <c r="I19">
        <v>18</v>
      </c>
      <c r="J19">
        <f t="shared" si="5"/>
        <v>0</v>
      </c>
      <c r="K19">
        <f t="shared" si="6"/>
        <v>0</v>
      </c>
      <c r="L19">
        <f t="shared" si="7"/>
        <v>0</v>
      </c>
      <c r="M19">
        <f t="shared" si="8"/>
        <v>0</v>
      </c>
      <c r="N19">
        <f t="shared" si="9"/>
        <v>0</v>
      </c>
      <c r="O19">
        <f t="shared" si="10"/>
        <v>1</v>
      </c>
      <c r="P19">
        <f t="shared" si="11"/>
        <v>0</v>
      </c>
      <c r="Q19">
        <f t="shared" si="12"/>
        <v>0</v>
      </c>
      <c r="R19">
        <f t="shared" si="13"/>
        <v>0</v>
      </c>
      <c r="S19">
        <f t="shared" si="14"/>
        <v>0</v>
      </c>
      <c r="T19">
        <f t="shared" si="15"/>
        <v>0</v>
      </c>
      <c r="Z19" t="s">
        <v>4</v>
      </c>
      <c r="AA19">
        <v>2.0691188234570345E-2</v>
      </c>
      <c r="AB19">
        <v>9.0274362957044399E-2</v>
      </c>
      <c r="AC19">
        <v>0.22920337022390191</v>
      </c>
      <c r="AD19">
        <v>0.81972689825212031</v>
      </c>
      <c r="AE19">
        <v>-0.16102167965691955</v>
      </c>
      <c r="AF19">
        <v>0.20240405612606022</v>
      </c>
      <c r="AG19">
        <v>-0.16102167965691955</v>
      </c>
      <c r="AH19">
        <v>0.20240405612606022</v>
      </c>
      <c r="AK19" t="s">
        <v>36</v>
      </c>
      <c r="AL19">
        <v>4.3111111111111426E-2</v>
      </c>
      <c r="AM19">
        <v>0.1614674683638504</v>
      </c>
      <c r="AN19">
        <v>0.26699564654079394</v>
      </c>
      <c r="AO19">
        <v>0.79091619834481941</v>
      </c>
      <c r="AP19">
        <v>-0.28376268950630801</v>
      </c>
      <c r="AQ19">
        <v>0.36998491172853087</v>
      </c>
      <c r="AR19">
        <v>-0.28376268950630801</v>
      </c>
      <c r="AS19">
        <v>0.36998491172853087</v>
      </c>
    </row>
    <row r="20" spans="1:45" x14ac:dyDescent="0.2">
      <c r="A20" s="7">
        <v>44378</v>
      </c>
      <c r="B20">
        <v>4.5999999999999996</v>
      </c>
      <c r="C20">
        <f t="shared" si="0"/>
        <v>3</v>
      </c>
      <c r="D20">
        <v>19</v>
      </c>
      <c r="E20">
        <f t="shared" si="1"/>
        <v>0</v>
      </c>
      <c r="F20">
        <f t="shared" si="2"/>
        <v>0</v>
      </c>
      <c r="G20">
        <f t="shared" si="3"/>
        <v>1</v>
      </c>
      <c r="H20">
        <f t="shared" si="4"/>
        <v>7</v>
      </c>
      <c r="I20">
        <v>19</v>
      </c>
      <c r="J20">
        <f t="shared" si="5"/>
        <v>0</v>
      </c>
      <c r="K20">
        <f t="shared" si="6"/>
        <v>0</v>
      </c>
      <c r="L20">
        <f t="shared" si="7"/>
        <v>0</v>
      </c>
      <c r="M20">
        <f t="shared" si="8"/>
        <v>0</v>
      </c>
      <c r="N20">
        <f t="shared" si="9"/>
        <v>0</v>
      </c>
      <c r="O20">
        <f t="shared" si="10"/>
        <v>0</v>
      </c>
      <c r="P20">
        <f t="shared" si="11"/>
        <v>1</v>
      </c>
      <c r="Q20">
        <f t="shared" si="12"/>
        <v>0</v>
      </c>
      <c r="R20">
        <f t="shared" si="13"/>
        <v>0</v>
      </c>
      <c r="S20">
        <f t="shared" si="14"/>
        <v>0</v>
      </c>
      <c r="T20">
        <f t="shared" si="15"/>
        <v>0</v>
      </c>
      <c r="Z20" t="s">
        <v>5</v>
      </c>
      <c r="AA20">
        <v>-0.13528429019752622</v>
      </c>
      <c r="AB20">
        <v>9.583643083234053E-2</v>
      </c>
      <c r="AC20">
        <v>-1.4116165326961843</v>
      </c>
      <c r="AD20">
        <v>0.16479162396530767</v>
      </c>
      <c r="AE20">
        <v>-0.32819302003609085</v>
      </c>
      <c r="AF20">
        <v>5.7624439641038389E-2</v>
      </c>
      <c r="AG20">
        <v>-0.32819302003609085</v>
      </c>
      <c r="AH20">
        <v>5.7624439641038389E-2</v>
      </c>
      <c r="AK20" t="s">
        <v>37</v>
      </c>
      <c r="AL20">
        <v>-1.0111111111110991E-2</v>
      </c>
      <c r="AM20">
        <v>0.16131865800862097</v>
      </c>
      <c r="AN20">
        <v>-6.2677877661061671E-2</v>
      </c>
      <c r="AO20">
        <v>0.95035154689200219</v>
      </c>
      <c r="AP20">
        <v>-0.33668366091387431</v>
      </c>
      <c r="AQ20">
        <v>0.31646143869165227</v>
      </c>
      <c r="AR20">
        <v>-0.33668366091387431</v>
      </c>
      <c r="AS20">
        <v>0.31646143869165227</v>
      </c>
    </row>
    <row r="21" spans="1:45" ht="16" thickBot="1" x14ac:dyDescent="0.25">
      <c r="A21" s="7">
        <v>44409</v>
      </c>
      <c r="B21">
        <v>4.66</v>
      </c>
      <c r="C21">
        <f t="shared" si="0"/>
        <v>3</v>
      </c>
      <c r="D21">
        <v>20</v>
      </c>
      <c r="E21">
        <f t="shared" si="1"/>
        <v>0</v>
      </c>
      <c r="F21">
        <f t="shared" si="2"/>
        <v>0</v>
      </c>
      <c r="G21">
        <f t="shared" si="3"/>
        <v>1</v>
      </c>
      <c r="H21">
        <f t="shared" si="4"/>
        <v>8</v>
      </c>
      <c r="I21">
        <v>20</v>
      </c>
      <c r="J21">
        <f t="shared" si="5"/>
        <v>0</v>
      </c>
      <c r="K21">
        <f t="shared" si="6"/>
        <v>0</v>
      </c>
      <c r="L21">
        <f t="shared" si="7"/>
        <v>0</v>
      </c>
      <c r="M21">
        <f t="shared" si="8"/>
        <v>0</v>
      </c>
      <c r="N21">
        <f t="shared" si="9"/>
        <v>0</v>
      </c>
      <c r="O21">
        <f t="shared" si="10"/>
        <v>0</v>
      </c>
      <c r="P21">
        <f t="shared" si="11"/>
        <v>0</v>
      </c>
      <c r="Q21">
        <f t="shared" si="12"/>
        <v>1</v>
      </c>
      <c r="R21">
        <f t="shared" si="13"/>
        <v>0</v>
      </c>
      <c r="S21">
        <f t="shared" si="14"/>
        <v>0</v>
      </c>
      <c r="T21">
        <f t="shared" si="15"/>
        <v>0</v>
      </c>
      <c r="Z21" s="2" t="s">
        <v>6</v>
      </c>
      <c r="AA21" s="2">
        <v>-0.22264214509876326</v>
      </c>
      <c r="AB21" s="2">
        <v>9.5131325574444231E-2</v>
      </c>
      <c r="AC21" s="2">
        <v>-2.3403662647855832</v>
      </c>
      <c r="AD21" s="2">
        <v>2.3657374135743606E-2</v>
      </c>
      <c r="AE21" s="2">
        <v>-0.41413157166693348</v>
      </c>
      <c r="AF21" s="2">
        <v>-3.1152718530593065E-2</v>
      </c>
      <c r="AG21" s="2">
        <v>-0.41413157166693348</v>
      </c>
      <c r="AH21" s="2">
        <v>-3.1152718530593065E-2</v>
      </c>
      <c r="AK21" t="s">
        <v>38</v>
      </c>
      <c r="AL21">
        <v>-0.10933333333333287</v>
      </c>
      <c r="AM21">
        <v>0.1612028216490094</v>
      </c>
      <c r="AN21">
        <v>-0.67823461286172049</v>
      </c>
      <c r="AO21">
        <v>0.50173245592579452</v>
      </c>
      <c r="AP21">
        <v>-0.43567138468572975</v>
      </c>
      <c r="AQ21">
        <v>0.21700471801906399</v>
      </c>
      <c r="AR21">
        <v>-0.43567138468572975</v>
      </c>
      <c r="AS21">
        <v>0.21700471801906399</v>
      </c>
    </row>
    <row r="22" spans="1:45" x14ac:dyDescent="0.2">
      <c r="A22" s="7">
        <v>44440</v>
      </c>
      <c r="B22">
        <v>4.68</v>
      </c>
      <c r="C22">
        <f t="shared" si="0"/>
        <v>3</v>
      </c>
      <c r="D22">
        <v>21</v>
      </c>
      <c r="E22">
        <f t="shared" si="1"/>
        <v>0</v>
      </c>
      <c r="F22">
        <f t="shared" si="2"/>
        <v>0</v>
      </c>
      <c r="G22">
        <f t="shared" si="3"/>
        <v>1</v>
      </c>
      <c r="H22">
        <f t="shared" si="4"/>
        <v>9</v>
      </c>
      <c r="I22">
        <v>21</v>
      </c>
      <c r="J22">
        <f t="shared" si="5"/>
        <v>0</v>
      </c>
      <c r="K22">
        <f t="shared" si="6"/>
        <v>0</v>
      </c>
      <c r="L22">
        <f t="shared" si="7"/>
        <v>0</v>
      </c>
      <c r="M22">
        <f t="shared" si="8"/>
        <v>0</v>
      </c>
      <c r="N22">
        <f t="shared" si="9"/>
        <v>0</v>
      </c>
      <c r="O22">
        <f t="shared" si="10"/>
        <v>0</v>
      </c>
      <c r="P22">
        <f t="shared" si="11"/>
        <v>0</v>
      </c>
      <c r="Q22">
        <f t="shared" si="12"/>
        <v>0</v>
      </c>
      <c r="R22">
        <f t="shared" si="13"/>
        <v>1</v>
      </c>
      <c r="S22">
        <f t="shared" si="14"/>
        <v>0</v>
      </c>
      <c r="T22">
        <f t="shared" si="15"/>
        <v>0</v>
      </c>
      <c r="AK22" t="s">
        <v>39</v>
      </c>
      <c r="AL22">
        <v>-0.23422222222222186</v>
      </c>
      <c r="AM22">
        <v>0.17076863121225708</v>
      </c>
      <c r="AN22">
        <v>-1.371576387065462</v>
      </c>
      <c r="AO22">
        <v>0.17824016775703821</v>
      </c>
      <c r="AP22">
        <v>-0.57992524262755063</v>
      </c>
      <c r="AQ22">
        <v>0.11148079818310688</v>
      </c>
      <c r="AR22">
        <v>-0.57992524262755063</v>
      </c>
      <c r="AS22">
        <v>0.11148079818310688</v>
      </c>
    </row>
    <row r="23" spans="1:45" x14ac:dyDescent="0.2">
      <c r="A23" s="7">
        <v>44470</v>
      </c>
      <c r="B23">
        <v>4.1900000000000004</v>
      </c>
      <c r="C23">
        <f t="shared" si="0"/>
        <v>4</v>
      </c>
      <c r="D23">
        <v>22</v>
      </c>
      <c r="E23">
        <f t="shared" si="1"/>
        <v>0</v>
      </c>
      <c r="F23">
        <f t="shared" si="2"/>
        <v>0</v>
      </c>
      <c r="G23">
        <f t="shared" si="3"/>
        <v>0</v>
      </c>
      <c r="H23">
        <f t="shared" si="4"/>
        <v>10</v>
      </c>
      <c r="I23">
        <v>22</v>
      </c>
      <c r="J23">
        <f t="shared" si="5"/>
        <v>0</v>
      </c>
      <c r="K23">
        <f t="shared" si="6"/>
        <v>0</v>
      </c>
      <c r="L23">
        <f t="shared" si="7"/>
        <v>0</v>
      </c>
      <c r="M23">
        <f t="shared" si="8"/>
        <v>0</v>
      </c>
      <c r="N23">
        <f t="shared" si="9"/>
        <v>0</v>
      </c>
      <c r="O23">
        <f t="shared" si="10"/>
        <v>0</v>
      </c>
      <c r="P23">
        <f t="shared" si="11"/>
        <v>0</v>
      </c>
      <c r="Q23">
        <f t="shared" si="12"/>
        <v>0</v>
      </c>
      <c r="R23">
        <f t="shared" si="13"/>
        <v>0</v>
      </c>
      <c r="S23">
        <f t="shared" si="14"/>
        <v>1</v>
      </c>
      <c r="T23">
        <f t="shared" si="15"/>
        <v>0</v>
      </c>
      <c r="AK23" t="s">
        <v>40</v>
      </c>
      <c r="AL23">
        <v>-0.19744444444444414</v>
      </c>
      <c r="AM23">
        <v>0.17053406954592223</v>
      </c>
      <c r="AN23">
        <v>-1.1578005789117427</v>
      </c>
      <c r="AO23">
        <v>0.2541709853492039</v>
      </c>
      <c r="AP23">
        <v>-0.54267261958136714</v>
      </c>
      <c r="AQ23">
        <v>0.14778373069247891</v>
      </c>
      <c r="AR23">
        <v>-0.54267261958136714</v>
      </c>
      <c r="AS23">
        <v>0.14778373069247891</v>
      </c>
    </row>
    <row r="24" spans="1:45" x14ac:dyDescent="0.2">
      <c r="A24" s="7">
        <v>44501</v>
      </c>
      <c r="B24">
        <v>4.3099999999999996</v>
      </c>
      <c r="C24">
        <f t="shared" si="0"/>
        <v>4</v>
      </c>
      <c r="D24">
        <v>23</v>
      </c>
      <c r="E24">
        <f t="shared" si="1"/>
        <v>0</v>
      </c>
      <c r="F24">
        <f t="shared" si="2"/>
        <v>0</v>
      </c>
      <c r="G24">
        <f t="shared" si="3"/>
        <v>0</v>
      </c>
      <c r="H24">
        <f t="shared" si="4"/>
        <v>11</v>
      </c>
      <c r="I24">
        <v>23</v>
      </c>
      <c r="J24">
        <f t="shared" si="5"/>
        <v>0</v>
      </c>
      <c r="K24">
        <f t="shared" si="6"/>
        <v>0</v>
      </c>
      <c r="L24">
        <f t="shared" si="7"/>
        <v>0</v>
      </c>
      <c r="M24">
        <f t="shared" si="8"/>
        <v>0</v>
      </c>
      <c r="N24">
        <f t="shared" si="9"/>
        <v>0</v>
      </c>
      <c r="O24">
        <f t="shared" si="10"/>
        <v>0</v>
      </c>
      <c r="P24">
        <f t="shared" si="11"/>
        <v>0</v>
      </c>
      <c r="Q24">
        <f t="shared" si="12"/>
        <v>0</v>
      </c>
      <c r="R24">
        <f t="shared" si="13"/>
        <v>0</v>
      </c>
      <c r="S24">
        <f t="shared" si="14"/>
        <v>0</v>
      </c>
      <c r="T24">
        <f t="shared" si="15"/>
        <v>1</v>
      </c>
      <c r="AK24" t="s">
        <v>41</v>
      </c>
      <c r="AL24">
        <v>-0.11316666666666646</v>
      </c>
      <c r="AM24">
        <v>0.17033052148604375</v>
      </c>
      <c r="AN24">
        <v>-0.66439452940874677</v>
      </c>
      <c r="AO24">
        <v>0.51044962388385318</v>
      </c>
      <c r="AP24">
        <v>-0.45798278029909589</v>
      </c>
      <c r="AQ24">
        <v>0.23164944696576295</v>
      </c>
      <c r="AR24">
        <v>-0.45798278029909589</v>
      </c>
      <c r="AS24">
        <v>0.23164944696576295</v>
      </c>
    </row>
    <row r="25" spans="1:45" x14ac:dyDescent="0.2">
      <c r="A25" s="7">
        <v>44531</v>
      </c>
      <c r="B25">
        <v>4.46</v>
      </c>
      <c r="C25">
        <f t="shared" si="0"/>
        <v>4</v>
      </c>
      <c r="D25">
        <v>24</v>
      </c>
      <c r="E25">
        <f t="shared" si="1"/>
        <v>0</v>
      </c>
      <c r="F25">
        <f t="shared" si="2"/>
        <v>0</v>
      </c>
      <c r="G25">
        <f t="shared" si="3"/>
        <v>0</v>
      </c>
      <c r="H25">
        <f t="shared" si="4"/>
        <v>12</v>
      </c>
      <c r="I25">
        <v>24</v>
      </c>
      <c r="J25">
        <f t="shared" si="5"/>
        <v>0</v>
      </c>
      <c r="K25">
        <f t="shared" si="6"/>
        <v>0</v>
      </c>
      <c r="L25">
        <f t="shared" si="7"/>
        <v>0</v>
      </c>
      <c r="M25">
        <f t="shared" si="8"/>
        <v>0</v>
      </c>
      <c r="N25">
        <f t="shared" si="9"/>
        <v>0</v>
      </c>
      <c r="O25">
        <f t="shared" si="10"/>
        <v>0</v>
      </c>
      <c r="P25">
        <f t="shared" si="11"/>
        <v>0</v>
      </c>
      <c r="Q25">
        <f t="shared" si="12"/>
        <v>0</v>
      </c>
      <c r="R25">
        <f t="shared" si="13"/>
        <v>0</v>
      </c>
      <c r="S25">
        <f t="shared" si="14"/>
        <v>0</v>
      </c>
      <c r="T25">
        <f t="shared" si="15"/>
        <v>0</v>
      </c>
      <c r="Z25" t="s">
        <v>31</v>
      </c>
      <c r="AK25" t="s">
        <v>42</v>
      </c>
      <c r="AL25">
        <v>-0.24138888888888876</v>
      </c>
      <c r="AM25">
        <v>0.17015809833078868</v>
      </c>
      <c r="AN25">
        <v>-1.4186153421838723</v>
      </c>
      <c r="AO25">
        <v>0.16416126944777909</v>
      </c>
      <c r="AP25">
        <v>-0.58585595009209657</v>
      </c>
      <c r="AQ25">
        <v>0.10307817231431898</v>
      </c>
      <c r="AR25">
        <v>-0.58585595009209657</v>
      </c>
      <c r="AS25">
        <v>0.10307817231431898</v>
      </c>
    </row>
    <row r="26" spans="1:45" ht="16" thickBot="1" x14ac:dyDescent="0.25">
      <c r="A26" s="7">
        <v>44562</v>
      </c>
      <c r="B26">
        <v>4.76</v>
      </c>
      <c r="C26">
        <f t="shared" si="0"/>
        <v>1</v>
      </c>
      <c r="D26">
        <v>25</v>
      </c>
      <c r="E26">
        <f t="shared" si="1"/>
        <v>1</v>
      </c>
      <c r="F26">
        <f t="shared" si="2"/>
        <v>0</v>
      </c>
      <c r="G26">
        <f t="shared" si="3"/>
        <v>0</v>
      </c>
      <c r="H26">
        <f t="shared" si="4"/>
        <v>1</v>
      </c>
      <c r="I26">
        <v>25</v>
      </c>
      <c r="J26">
        <f t="shared" si="5"/>
        <v>1</v>
      </c>
      <c r="K26">
        <f t="shared" si="6"/>
        <v>0</v>
      </c>
      <c r="L26">
        <f t="shared" si="7"/>
        <v>0</v>
      </c>
      <c r="M26">
        <f t="shared" si="8"/>
        <v>0</v>
      </c>
      <c r="N26">
        <f t="shared" si="9"/>
        <v>0</v>
      </c>
      <c r="O26">
        <f t="shared" si="10"/>
        <v>0</v>
      </c>
      <c r="P26">
        <f t="shared" si="11"/>
        <v>0</v>
      </c>
      <c r="Q26">
        <f t="shared" si="12"/>
        <v>0</v>
      </c>
      <c r="R26">
        <f t="shared" si="13"/>
        <v>0</v>
      </c>
      <c r="S26">
        <f t="shared" si="14"/>
        <v>0</v>
      </c>
      <c r="T26">
        <f t="shared" si="15"/>
        <v>0</v>
      </c>
      <c r="AK26" t="s">
        <v>43</v>
      </c>
      <c r="AL26">
        <v>-0.40461111111111081</v>
      </c>
      <c r="AM26">
        <v>0.17001689477643597</v>
      </c>
      <c r="AN26">
        <v>-2.3798288496161217</v>
      </c>
      <c r="AO26">
        <v>2.2443413423081655E-2</v>
      </c>
      <c r="AP26">
        <v>-0.74879232066296331</v>
      </c>
      <c r="AQ26">
        <v>-6.0429901559258314E-2</v>
      </c>
      <c r="AR26">
        <v>-0.74879232066296331</v>
      </c>
      <c r="AS26">
        <v>-6.0429901559258314E-2</v>
      </c>
    </row>
    <row r="27" spans="1:45" x14ac:dyDescent="0.2">
      <c r="A27" s="7">
        <v>44593</v>
      </c>
      <c r="B27">
        <v>4.46</v>
      </c>
      <c r="C27">
        <f t="shared" si="0"/>
        <v>1</v>
      </c>
      <c r="D27">
        <v>26</v>
      </c>
      <c r="E27">
        <f t="shared" si="1"/>
        <v>1</v>
      </c>
      <c r="F27">
        <f t="shared" si="2"/>
        <v>0</v>
      </c>
      <c r="G27">
        <f t="shared" si="3"/>
        <v>0</v>
      </c>
      <c r="H27">
        <f t="shared" si="4"/>
        <v>2</v>
      </c>
      <c r="I27">
        <v>26</v>
      </c>
      <c r="J27">
        <f t="shared" si="5"/>
        <v>0</v>
      </c>
      <c r="K27">
        <f t="shared" si="6"/>
        <v>1</v>
      </c>
      <c r="L27">
        <f t="shared" si="7"/>
        <v>0</v>
      </c>
      <c r="M27">
        <f t="shared" si="8"/>
        <v>0</v>
      </c>
      <c r="N27">
        <f t="shared" si="9"/>
        <v>0</v>
      </c>
      <c r="O27">
        <f t="shared" si="10"/>
        <v>0</v>
      </c>
      <c r="P27">
        <f t="shared" si="11"/>
        <v>0</v>
      </c>
      <c r="Q27">
        <f t="shared" si="12"/>
        <v>0</v>
      </c>
      <c r="R27">
        <f t="shared" si="13"/>
        <v>0</v>
      </c>
      <c r="S27">
        <f t="shared" si="14"/>
        <v>0</v>
      </c>
      <c r="T27">
        <f t="shared" si="15"/>
        <v>0</v>
      </c>
      <c r="Z27" s="3" t="s">
        <v>32</v>
      </c>
      <c r="AA27" s="3" t="s">
        <v>52</v>
      </c>
      <c r="AB27" s="3" t="s">
        <v>34</v>
      </c>
      <c r="AK27" t="s">
        <v>44</v>
      </c>
      <c r="AL27">
        <v>-0.16033333333333324</v>
      </c>
      <c r="AM27">
        <v>0.16990698865944756</v>
      </c>
      <c r="AN27">
        <v>-0.94365355185416633</v>
      </c>
      <c r="AO27">
        <v>0.35130813925644999</v>
      </c>
      <c r="AP27">
        <v>-0.50429204958337615</v>
      </c>
      <c r="AQ27">
        <v>0.18362538291670968</v>
      </c>
      <c r="AR27">
        <v>-0.50429204958337615</v>
      </c>
      <c r="AS27">
        <v>0.18362538291670968</v>
      </c>
    </row>
    <row r="28" spans="1:45" x14ac:dyDescent="0.2">
      <c r="A28" s="7">
        <v>44621</v>
      </c>
      <c r="B28">
        <v>4.7300000000000004</v>
      </c>
      <c r="C28">
        <f t="shared" si="0"/>
        <v>1</v>
      </c>
      <c r="D28">
        <v>27</v>
      </c>
      <c r="E28">
        <f t="shared" si="1"/>
        <v>1</v>
      </c>
      <c r="F28">
        <f t="shared" si="2"/>
        <v>0</v>
      </c>
      <c r="G28">
        <f t="shared" si="3"/>
        <v>0</v>
      </c>
      <c r="H28">
        <f t="shared" si="4"/>
        <v>3</v>
      </c>
      <c r="I28">
        <v>27</v>
      </c>
      <c r="J28">
        <f t="shared" si="5"/>
        <v>0</v>
      </c>
      <c r="K28">
        <f t="shared" si="6"/>
        <v>0</v>
      </c>
      <c r="L28">
        <f t="shared" si="7"/>
        <v>1</v>
      </c>
      <c r="M28">
        <f t="shared" si="8"/>
        <v>0</v>
      </c>
      <c r="N28">
        <f t="shared" si="9"/>
        <v>0</v>
      </c>
      <c r="O28">
        <f t="shared" si="10"/>
        <v>0</v>
      </c>
      <c r="P28">
        <f t="shared" si="11"/>
        <v>0</v>
      </c>
      <c r="Q28">
        <f t="shared" si="12"/>
        <v>0</v>
      </c>
      <c r="R28">
        <f t="shared" si="13"/>
        <v>0</v>
      </c>
      <c r="S28">
        <f t="shared" si="14"/>
        <v>0</v>
      </c>
      <c r="T28">
        <f t="shared" si="15"/>
        <v>0</v>
      </c>
      <c r="Z28">
        <v>1</v>
      </c>
      <c r="AA28">
        <v>4.5545178758230289</v>
      </c>
      <c r="AB28">
        <v>0.23548212417697112</v>
      </c>
      <c r="AK28" t="s">
        <v>45</v>
      </c>
      <c r="AL28">
        <v>-0.16105555555555531</v>
      </c>
      <c r="AM28">
        <v>0.16982844074315165</v>
      </c>
      <c r="AN28">
        <v>-0.948342661869784</v>
      </c>
      <c r="AO28">
        <v>0.34894742096509845</v>
      </c>
      <c r="AP28">
        <v>-0.50485525986226143</v>
      </c>
      <c r="AQ28">
        <v>0.18274414875115078</v>
      </c>
      <c r="AR28">
        <v>-0.50485525986226143</v>
      </c>
      <c r="AS28">
        <v>0.18274414875115078</v>
      </c>
    </row>
    <row r="29" spans="1:45" ht="16" thickBot="1" x14ac:dyDescent="0.25">
      <c r="A29" s="7">
        <v>44652</v>
      </c>
      <c r="B29">
        <v>4.32</v>
      </c>
      <c r="C29">
        <f t="shared" si="0"/>
        <v>2</v>
      </c>
      <c r="D29">
        <v>28</v>
      </c>
      <c r="E29">
        <f t="shared" si="1"/>
        <v>0</v>
      </c>
      <c r="F29">
        <f t="shared" si="2"/>
        <v>1</v>
      </c>
      <c r="G29">
        <f t="shared" si="3"/>
        <v>0</v>
      </c>
      <c r="H29">
        <f t="shared" si="4"/>
        <v>4</v>
      </c>
      <c r="I29">
        <v>28</v>
      </c>
      <c r="J29">
        <f t="shared" si="5"/>
        <v>0</v>
      </c>
      <c r="K29">
        <f t="shared" si="6"/>
        <v>0</v>
      </c>
      <c r="L29">
        <f t="shared" si="7"/>
        <v>0</v>
      </c>
      <c r="M29">
        <f t="shared" si="8"/>
        <v>1</v>
      </c>
      <c r="N29">
        <f t="shared" si="9"/>
        <v>0</v>
      </c>
      <c r="O29">
        <f t="shared" si="10"/>
        <v>0</v>
      </c>
      <c r="P29">
        <f t="shared" si="11"/>
        <v>0</v>
      </c>
      <c r="Q29">
        <f t="shared" si="12"/>
        <v>0</v>
      </c>
      <c r="R29">
        <f t="shared" si="13"/>
        <v>0</v>
      </c>
      <c r="S29">
        <f t="shared" si="14"/>
        <v>0</v>
      </c>
      <c r="T29">
        <f t="shared" si="15"/>
        <v>0</v>
      </c>
      <c r="Z29">
        <v>2</v>
      </c>
      <c r="AA29">
        <v>4.557803827456774</v>
      </c>
      <c r="AB29">
        <v>0.14219617254322614</v>
      </c>
      <c r="AK29" s="2" t="s">
        <v>46</v>
      </c>
      <c r="AL29" s="2">
        <v>2.3222222222222255E-2</v>
      </c>
      <c r="AM29" s="2">
        <v>0.16978129455039287</v>
      </c>
      <c r="AN29" s="2">
        <v>0.13677727151108307</v>
      </c>
      <c r="AO29" s="2">
        <v>0.89192895723931775</v>
      </c>
      <c r="AP29" s="2">
        <v>-0.32048203960701227</v>
      </c>
      <c r="AQ29" s="2">
        <v>0.36692648405145678</v>
      </c>
      <c r="AR29" s="2">
        <v>-0.32048203960701227</v>
      </c>
      <c r="AS29" s="2">
        <v>0.36692648405145678</v>
      </c>
    </row>
    <row r="30" spans="1:45" x14ac:dyDescent="0.2">
      <c r="A30" s="7">
        <v>44682</v>
      </c>
      <c r="B30">
        <v>4.6500000000000004</v>
      </c>
      <c r="C30">
        <f t="shared" si="0"/>
        <v>2</v>
      </c>
      <c r="D30">
        <v>29</v>
      </c>
      <c r="E30">
        <f t="shared" si="1"/>
        <v>0</v>
      </c>
      <c r="F30">
        <f t="shared" si="2"/>
        <v>1</v>
      </c>
      <c r="G30">
        <f t="shared" si="3"/>
        <v>0</v>
      </c>
      <c r="H30">
        <f t="shared" si="4"/>
        <v>5</v>
      </c>
      <c r="I30">
        <v>29</v>
      </c>
      <c r="J30">
        <f t="shared" si="5"/>
        <v>0</v>
      </c>
      <c r="K30">
        <f t="shared" si="6"/>
        <v>0</v>
      </c>
      <c r="L30">
        <f t="shared" si="7"/>
        <v>0</v>
      </c>
      <c r="M30">
        <f t="shared" si="8"/>
        <v>0</v>
      </c>
      <c r="N30">
        <f t="shared" si="9"/>
        <v>1</v>
      </c>
      <c r="O30">
        <f t="shared" si="10"/>
        <v>0</v>
      </c>
      <c r="P30">
        <f t="shared" si="11"/>
        <v>0</v>
      </c>
      <c r="Q30">
        <f t="shared" si="12"/>
        <v>0</v>
      </c>
      <c r="R30">
        <f t="shared" si="13"/>
        <v>0</v>
      </c>
      <c r="S30">
        <f t="shared" si="14"/>
        <v>0</v>
      </c>
      <c r="T30">
        <f t="shared" si="15"/>
        <v>0</v>
      </c>
      <c r="Z30">
        <v>3</v>
      </c>
      <c r="AA30">
        <v>4.56108977909052</v>
      </c>
      <c r="AB30">
        <v>-0.47108977909052019</v>
      </c>
    </row>
    <row r="31" spans="1:45" x14ac:dyDescent="0.2">
      <c r="A31" s="7">
        <v>44713</v>
      </c>
      <c r="B31">
        <v>4.41</v>
      </c>
      <c r="C31">
        <f t="shared" si="0"/>
        <v>2</v>
      </c>
      <c r="D31">
        <v>30</v>
      </c>
      <c r="E31">
        <f t="shared" si="1"/>
        <v>0</v>
      </c>
      <c r="F31">
        <f t="shared" si="2"/>
        <v>1</v>
      </c>
      <c r="G31">
        <f t="shared" si="3"/>
        <v>0</v>
      </c>
      <c r="H31">
        <f t="shared" si="4"/>
        <v>6</v>
      </c>
      <c r="I31">
        <v>30</v>
      </c>
      <c r="J31">
        <f t="shared" si="5"/>
        <v>0</v>
      </c>
      <c r="K31">
        <f t="shared" si="6"/>
        <v>0</v>
      </c>
      <c r="L31">
        <f t="shared" si="7"/>
        <v>0</v>
      </c>
      <c r="M31">
        <f t="shared" si="8"/>
        <v>0</v>
      </c>
      <c r="N31">
        <f t="shared" si="9"/>
        <v>0</v>
      </c>
      <c r="O31">
        <f t="shared" si="10"/>
        <v>1</v>
      </c>
      <c r="P31">
        <f t="shared" si="11"/>
        <v>0</v>
      </c>
      <c r="Q31">
        <f t="shared" si="12"/>
        <v>0</v>
      </c>
      <c r="R31">
        <f t="shared" si="13"/>
        <v>0</v>
      </c>
      <c r="S31">
        <f t="shared" si="14"/>
        <v>0</v>
      </c>
      <c r="T31">
        <f t="shared" si="15"/>
        <v>0</v>
      </c>
      <c r="Z31">
        <v>4</v>
      </c>
      <c r="AA31">
        <v>4.4084002522921688</v>
      </c>
      <c r="AB31">
        <v>-3.8400252292168702E-2</v>
      </c>
    </row>
    <row r="32" spans="1:45" x14ac:dyDescent="0.2">
      <c r="A32" s="7">
        <v>44743</v>
      </c>
      <c r="B32">
        <v>4.8099999999999996</v>
      </c>
      <c r="C32">
        <f t="shared" si="0"/>
        <v>3</v>
      </c>
      <c r="D32">
        <v>31</v>
      </c>
      <c r="E32">
        <f t="shared" si="1"/>
        <v>0</v>
      </c>
      <c r="F32">
        <f t="shared" si="2"/>
        <v>0</v>
      </c>
      <c r="G32">
        <f t="shared" si="3"/>
        <v>1</v>
      </c>
      <c r="H32">
        <f t="shared" si="4"/>
        <v>7</v>
      </c>
      <c r="I32">
        <v>31</v>
      </c>
      <c r="J32">
        <f t="shared" si="5"/>
        <v>0</v>
      </c>
      <c r="K32">
        <f t="shared" si="6"/>
        <v>0</v>
      </c>
      <c r="L32">
        <f t="shared" si="7"/>
        <v>0</v>
      </c>
      <c r="M32">
        <f t="shared" si="8"/>
        <v>0</v>
      </c>
      <c r="N32">
        <f t="shared" si="9"/>
        <v>0</v>
      </c>
      <c r="O32">
        <f t="shared" si="10"/>
        <v>0</v>
      </c>
      <c r="P32">
        <f t="shared" si="11"/>
        <v>1</v>
      </c>
      <c r="Q32">
        <f t="shared" si="12"/>
        <v>0</v>
      </c>
      <c r="R32">
        <f t="shared" si="13"/>
        <v>0</v>
      </c>
      <c r="S32">
        <f t="shared" si="14"/>
        <v>0</v>
      </c>
      <c r="T32">
        <f t="shared" si="15"/>
        <v>0</v>
      </c>
      <c r="Z32">
        <v>5</v>
      </c>
      <c r="AA32">
        <v>4.4116862039259148</v>
      </c>
      <c r="AB32">
        <v>-1.6862039259146755E-3</v>
      </c>
    </row>
    <row r="33" spans="1:39" x14ac:dyDescent="0.2">
      <c r="A33" s="7">
        <v>44774</v>
      </c>
      <c r="B33">
        <v>4.08</v>
      </c>
      <c r="C33">
        <f t="shared" si="0"/>
        <v>3</v>
      </c>
      <c r="D33">
        <v>32</v>
      </c>
      <c r="E33">
        <f t="shared" si="1"/>
        <v>0</v>
      </c>
      <c r="F33">
        <f t="shared" si="2"/>
        <v>0</v>
      </c>
      <c r="G33">
        <f t="shared" si="3"/>
        <v>1</v>
      </c>
      <c r="H33">
        <f t="shared" si="4"/>
        <v>8</v>
      </c>
      <c r="I33">
        <v>32</v>
      </c>
      <c r="J33">
        <f t="shared" si="5"/>
        <v>0</v>
      </c>
      <c r="K33">
        <f t="shared" si="6"/>
        <v>0</v>
      </c>
      <c r="L33">
        <f t="shared" si="7"/>
        <v>0</v>
      </c>
      <c r="M33">
        <f t="shared" si="8"/>
        <v>0</v>
      </c>
      <c r="N33">
        <f t="shared" si="9"/>
        <v>0</v>
      </c>
      <c r="O33">
        <f t="shared" si="10"/>
        <v>0</v>
      </c>
      <c r="P33">
        <f t="shared" si="11"/>
        <v>0</v>
      </c>
      <c r="Q33">
        <f t="shared" si="12"/>
        <v>1</v>
      </c>
      <c r="R33">
        <f t="shared" si="13"/>
        <v>0</v>
      </c>
      <c r="S33">
        <f t="shared" si="14"/>
        <v>0</v>
      </c>
      <c r="T33">
        <f t="shared" si="15"/>
        <v>0</v>
      </c>
      <c r="Z33">
        <v>6</v>
      </c>
      <c r="AA33">
        <v>4.4149721555596599</v>
      </c>
      <c r="AB33">
        <v>-7.4972155559660081E-2</v>
      </c>
      <c r="AK33" t="s">
        <v>31</v>
      </c>
    </row>
    <row r="34" spans="1:39" ht="16" thickBot="1" x14ac:dyDescent="0.25">
      <c r="A34" s="7">
        <v>44805</v>
      </c>
      <c r="B34">
        <v>4.68</v>
      </c>
      <c r="C34">
        <f t="shared" si="0"/>
        <v>3</v>
      </c>
      <c r="D34">
        <v>33</v>
      </c>
      <c r="E34">
        <f t="shared" si="1"/>
        <v>0</v>
      </c>
      <c r="F34">
        <f t="shared" si="2"/>
        <v>0</v>
      </c>
      <c r="G34">
        <f t="shared" si="3"/>
        <v>1</v>
      </c>
      <c r="H34">
        <f t="shared" si="4"/>
        <v>9</v>
      </c>
      <c r="I34">
        <v>33</v>
      </c>
      <c r="J34">
        <f t="shared" si="5"/>
        <v>0</v>
      </c>
      <c r="K34">
        <f t="shared" si="6"/>
        <v>0</v>
      </c>
      <c r="L34">
        <f t="shared" si="7"/>
        <v>0</v>
      </c>
      <c r="M34">
        <f t="shared" si="8"/>
        <v>0</v>
      </c>
      <c r="N34">
        <f t="shared" si="9"/>
        <v>0</v>
      </c>
      <c r="O34">
        <f t="shared" si="10"/>
        <v>0</v>
      </c>
      <c r="P34">
        <f t="shared" si="11"/>
        <v>0</v>
      </c>
      <c r="Q34">
        <f t="shared" si="12"/>
        <v>0</v>
      </c>
      <c r="R34">
        <f t="shared" si="13"/>
        <v>1</v>
      </c>
      <c r="S34">
        <f t="shared" si="14"/>
        <v>0</v>
      </c>
      <c r="T34">
        <f t="shared" si="15"/>
        <v>0</v>
      </c>
      <c r="Z34">
        <v>7</v>
      </c>
      <c r="AA34">
        <v>4.3309002522921682</v>
      </c>
      <c r="AB34">
        <v>-0.1709002522921681</v>
      </c>
    </row>
    <row r="35" spans="1:39" x14ac:dyDescent="0.2">
      <c r="A35" s="7">
        <v>44835</v>
      </c>
      <c r="B35">
        <v>4.6900000000000004</v>
      </c>
      <c r="C35">
        <f t="shared" si="0"/>
        <v>4</v>
      </c>
      <c r="D35">
        <v>34</v>
      </c>
      <c r="E35">
        <f t="shared" si="1"/>
        <v>0</v>
      </c>
      <c r="F35">
        <f t="shared" si="2"/>
        <v>0</v>
      </c>
      <c r="G35">
        <f t="shared" si="3"/>
        <v>0</v>
      </c>
      <c r="H35">
        <f t="shared" si="4"/>
        <v>10</v>
      </c>
      <c r="I35">
        <v>34</v>
      </c>
      <c r="J35">
        <f t="shared" si="5"/>
        <v>0</v>
      </c>
      <c r="K35">
        <f t="shared" si="6"/>
        <v>0</v>
      </c>
      <c r="L35">
        <f t="shared" si="7"/>
        <v>0</v>
      </c>
      <c r="M35">
        <f t="shared" si="8"/>
        <v>0</v>
      </c>
      <c r="N35">
        <f t="shared" si="9"/>
        <v>0</v>
      </c>
      <c r="O35">
        <f t="shared" si="10"/>
        <v>0</v>
      </c>
      <c r="P35">
        <f t="shared" si="11"/>
        <v>0</v>
      </c>
      <c r="Q35">
        <f t="shared" si="12"/>
        <v>0</v>
      </c>
      <c r="R35">
        <f t="shared" si="13"/>
        <v>0</v>
      </c>
      <c r="S35">
        <f t="shared" si="14"/>
        <v>1</v>
      </c>
      <c r="T35">
        <f t="shared" si="15"/>
        <v>0</v>
      </c>
      <c r="Z35">
        <v>8</v>
      </c>
      <c r="AA35">
        <v>4.3341862039259134</v>
      </c>
      <c r="AB35">
        <v>-0.33418620392591336</v>
      </c>
      <c r="AK35" s="3" t="s">
        <v>32</v>
      </c>
      <c r="AL35" s="3" t="s">
        <v>52</v>
      </c>
      <c r="AM35" s="3" t="s">
        <v>34</v>
      </c>
    </row>
    <row r="36" spans="1:39" x14ac:dyDescent="0.2">
      <c r="A36" s="7">
        <v>44866</v>
      </c>
      <c r="B36">
        <v>4.93</v>
      </c>
      <c r="C36">
        <f t="shared" si="0"/>
        <v>4</v>
      </c>
      <c r="D36">
        <v>35</v>
      </c>
      <c r="E36">
        <f t="shared" si="1"/>
        <v>0</v>
      </c>
      <c r="F36">
        <f t="shared" si="2"/>
        <v>0</v>
      </c>
      <c r="G36">
        <f t="shared" si="3"/>
        <v>0</v>
      </c>
      <c r="H36">
        <f t="shared" si="4"/>
        <v>11</v>
      </c>
      <c r="I36">
        <v>35</v>
      </c>
      <c r="J36">
        <f t="shared" si="5"/>
        <v>0</v>
      </c>
      <c r="K36">
        <f t="shared" si="6"/>
        <v>0</v>
      </c>
      <c r="L36">
        <f t="shared" si="7"/>
        <v>0</v>
      </c>
      <c r="M36">
        <f t="shared" si="8"/>
        <v>0</v>
      </c>
      <c r="N36">
        <f t="shared" si="9"/>
        <v>0</v>
      </c>
      <c r="O36">
        <f t="shared" si="10"/>
        <v>0</v>
      </c>
      <c r="P36">
        <f t="shared" si="11"/>
        <v>0</v>
      </c>
      <c r="Q36">
        <f t="shared" si="12"/>
        <v>0</v>
      </c>
      <c r="R36">
        <f t="shared" si="13"/>
        <v>0</v>
      </c>
      <c r="S36">
        <f t="shared" si="14"/>
        <v>0</v>
      </c>
      <c r="T36">
        <f t="shared" si="15"/>
        <v>1</v>
      </c>
      <c r="Z36">
        <v>9</v>
      </c>
      <c r="AA36">
        <v>4.3374721555596594</v>
      </c>
      <c r="AB36">
        <v>0.14252784444034106</v>
      </c>
      <c r="AK36">
        <v>1</v>
      </c>
      <c r="AL36">
        <v>4.6246666666666671</v>
      </c>
      <c r="AM36">
        <v>0.16533333333333289</v>
      </c>
    </row>
    <row r="37" spans="1:39" x14ac:dyDescent="0.2">
      <c r="A37" s="7">
        <v>44896</v>
      </c>
      <c r="B37">
        <v>4.83</v>
      </c>
      <c r="C37">
        <f t="shared" si="0"/>
        <v>4</v>
      </c>
      <c r="D37">
        <v>36</v>
      </c>
      <c r="E37">
        <f t="shared" si="1"/>
        <v>0</v>
      </c>
      <c r="F37">
        <f t="shared" si="2"/>
        <v>0</v>
      </c>
      <c r="G37">
        <f t="shared" si="3"/>
        <v>0</v>
      </c>
      <c r="H37">
        <f t="shared" si="4"/>
        <v>12</v>
      </c>
      <c r="I37">
        <v>36</v>
      </c>
      <c r="J37">
        <f t="shared" si="5"/>
        <v>0</v>
      </c>
      <c r="K37">
        <f t="shared" si="6"/>
        <v>0</v>
      </c>
      <c r="L37">
        <f t="shared" si="7"/>
        <v>0</v>
      </c>
      <c r="M37">
        <f t="shared" si="8"/>
        <v>0</v>
      </c>
      <c r="N37">
        <f t="shared" si="9"/>
        <v>0</v>
      </c>
      <c r="O37">
        <f t="shared" si="10"/>
        <v>0</v>
      </c>
      <c r="P37">
        <f t="shared" si="11"/>
        <v>0</v>
      </c>
      <c r="Q37">
        <f t="shared" si="12"/>
        <v>0</v>
      </c>
      <c r="R37">
        <f t="shared" si="13"/>
        <v>0</v>
      </c>
      <c r="S37">
        <f t="shared" si="14"/>
        <v>0</v>
      </c>
      <c r="T37">
        <f t="shared" si="15"/>
        <v>0</v>
      </c>
      <c r="Z37">
        <v>10</v>
      </c>
      <c r="AA37">
        <v>4.5634002522921691</v>
      </c>
      <c r="AB37">
        <v>0.11659974770783066</v>
      </c>
      <c r="AK37">
        <v>2</v>
      </c>
      <c r="AL37">
        <v>4.5746666666666673</v>
      </c>
      <c r="AM37">
        <v>0.12533333333333285</v>
      </c>
    </row>
    <row r="38" spans="1:39" x14ac:dyDescent="0.2">
      <c r="A38" s="7">
        <v>44927</v>
      </c>
      <c r="B38">
        <v>4.6399999999999997</v>
      </c>
      <c r="C38">
        <f t="shared" si="0"/>
        <v>1</v>
      </c>
      <c r="D38">
        <v>37</v>
      </c>
      <c r="E38">
        <f t="shared" si="1"/>
        <v>1</v>
      </c>
      <c r="F38">
        <f t="shared" si="2"/>
        <v>0</v>
      </c>
      <c r="G38">
        <f t="shared" si="3"/>
        <v>0</v>
      </c>
      <c r="H38">
        <f t="shared" si="4"/>
        <v>1</v>
      </c>
      <c r="I38">
        <v>37</v>
      </c>
      <c r="J38">
        <f t="shared" si="5"/>
        <v>1</v>
      </c>
      <c r="K38">
        <f t="shared" si="6"/>
        <v>0</v>
      </c>
      <c r="L38">
        <f t="shared" si="7"/>
        <v>0</v>
      </c>
      <c r="M38">
        <f t="shared" si="8"/>
        <v>0</v>
      </c>
      <c r="N38">
        <f t="shared" si="9"/>
        <v>0</v>
      </c>
      <c r="O38">
        <f t="shared" si="10"/>
        <v>0</v>
      </c>
      <c r="P38">
        <f t="shared" si="11"/>
        <v>0</v>
      </c>
      <c r="Q38">
        <f t="shared" si="12"/>
        <v>0</v>
      </c>
      <c r="R38">
        <f t="shared" si="13"/>
        <v>0</v>
      </c>
      <c r="S38">
        <f t="shared" si="14"/>
        <v>0</v>
      </c>
      <c r="T38">
        <f t="shared" si="15"/>
        <v>0</v>
      </c>
      <c r="Z38">
        <v>11</v>
      </c>
      <c r="AA38">
        <v>4.5666862039259142</v>
      </c>
      <c r="AB38">
        <v>0.18331379607408582</v>
      </c>
      <c r="AK38">
        <v>3</v>
      </c>
      <c r="AL38">
        <v>4.4786666666666681</v>
      </c>
      <c r="AM38">
        <v>-0.38866666666666827</v>
      </c>
    </row>
    <row r="39" spans="1:39" x14ac:dyDescent="0.2">
      <c r="A39" s="7">
        <v>44958</v>
      </c>
      <c r="B39">
        <v>4.9000000000000004</v>
      </c>
      <c r="C39">
        <f t="shared" si="0"/>
        <v>1</v>
      </c>
      <c r="D39">
        <v>38</v>
      </c>
      <c r="E39">
        <f t="shared" si="1"/>
        <v>1</v>
      </c>
      <c r="F39">
        <f t="shared" si="2"/>
        <v>0</v>
      </c>
      <c r="G39">
        <f t="shared" si="3"/>
        <v>0</v>
      </c>
      <c r="H39">
        <f t="shared" si="4"/>
        <v>2</v>
      </c>
      <c r="I39">
        <v>38</v>
      </c>
      <c r="J39">
        <f t="shared" si="5"/>
        <v>0</v>
      </c>
      <c r="K39">
        <f t="shared" si="6"/>
        <v>1</v>
      </c>
      <c r="L39">
        <f t="shared" si="7"/>
        <v>0</v>
      </c>
      <c r="M39">
        <f t="shared" si="8"/>
        <v>0</v>
      </c>
      <c r="N39">
        <f t="shared" si="9"/>
        <v>0</v>
      </c>
      <c r="O39">
        <f t="shared" si="10"/>
        <v>0</v>
      </c>
      <c r="P39">
        <f t="shared" si="11"/>
        <v>0</v>
      </c>
      <c r="Q39">
        <f t="shared" si="12"/>
        <v>0</v>
      </c>
      <c r="R39">
        <f t="shared" si="13"/>
        <v>0</v>
      </c>
      <c r="S39">
        <f t="shared" si="14"/>
        <v>0</v>
      </c>
      <c r="T39">
        <f t="shared" si="15"/>
        <v>0</v>
      </c>
      <c r="Z39">
        <v>12</v>
      </c>
      <c r="AA39">
        <v>4.5699721555596602</v>
      </c>
      <c r="AB39">
        <v>-8.9972155559659761E-2</v>
      </c>
      <c r="AK39">
        <v>4</v>
      </c>
      <c r="AL39">
        <v>4.3570000000000011</v>
      </c>
      <c r="AM39">
        <v>1.2999999999999012E-2</v>
      </c>
    </row>
    <row r="40" spans="1:39" x14ac:dyDescent="0.2">
      <c r="A40" s="7">
        <v>44986</v>
      </c>
      <c r="B40">
        <v>4.7300000000000004</v>
      </c>
      <c r="C40">
        <f t="shared" si="0"/>
        <v>1</v>
      </c>
      <c r="D40">
        <v>39</v>
      </c>
      <c r="E40">
        <f t="shared" si="1"/>
        <v>1</v>
      </c>
      <c r="F40">
        <f t="shared" si="2"/>
        <v>0</v>
      </c>
      <c r="G40">
        <f t="shared" si="3"/>
        <v>0</v>
      </c>
      <c r="H40">
        <f t="shared" si="4"/>
        <v>3</v>
      </c>
      <c r="I40">
        <v>39</v>
      </c>
      <c r="J40">
        <f t="shared" si="5"/>
        <v>0</v>
      </c>
      <c r="K40">
        <f t="shared" si="6"/>
        <v>0</v>
      </c>
      <c r="L40">
        <f t="shared" si="7"/>
        <v>1</v>
      </c>
      <c r="M40">
        <f t="shared" si="8"/>
        <v>0</v>
      </c>
      <c r="N40">
        <f t="shared" si="9"/>
        <v>0</v>
      </c>
      <c r="O40">
        <f t="shared" si="10"/>
        <v>0</v>
      </c>
      <c r="P40">
        <f t="shared" si="11"/>
        <v>0</v>
      </c>
      <c r="Q40">
        <f t="shared" si="12"/>
        <v>0</v>
      </c>
      <c r="R40">
        <f t="shared" si="13"/>
        <v>0</v>
      </c>
      <c r="S40">
        <f t="shared" si="14"/>
        <v>0</v>
      </c>
      <c r="T40">
        <f t="shared" si="15"/>
        <v>0</v>
      </c>
      <c r="Z40">
        <v>13</v>
      </c>
      <c r="AA40">
        <v>4.5939492954279757</v>
      </c>
      <c r="AB40">
        <v>-6.394929542797545E-2</v>
      </c>
      <c r="AK40">
        <v>5</v>
      </c>
      <c r="AL40">
        <v>4.3970000000000011</v>
      </c>
      <c r="AM40">
        <v>1.2999999999999012E-2</v>
      </c>
    </row>
    <row r="41" spans="1:39" x14ac:dyDescent="0.2">
      <c r="A41" s="7">
        <v>45017</v>
      </c>
      <c r="B41">
        <v>4.8</v>
      </c>
      <c r="C41">
        <f t="shared" si="0"/>
        <v>2</v>
      </c>
      <c r="D41">
        <v>40</v>
      </c>
      <c r="E41">
        <f t="shared" si="1"/>
        <v>0</v>
      </c>
      <c r="F41">
        <f t="shared" si="2"/>
        <v>1</v>
      </c>
      <c r="G41">
        <f t="shared" si="3"/>
        <v>0</v>
      </c>
      <c r="H41">
        <f t="shared" si="4"/>
        <v>4</v>
      </c>
      <c r="I41">
        <v>40</v>
      </c>
      <c r="J41">
        <f t="shared" si="5"/>
        <v>0</v>
      </c>
      <c r="K41">
        <f t="shared" si="6"/>
        <v>0</v>
      </c>
      <c r="L41">
        <f t="shared" si="7"/>
        <v>0</v>
      </c>
      <c r="M41">
        <f t="shared" si="8"/>
        <v>1</v>
      </c>
      <c r="N41">
        <f t="shared" si="9"/>
        <v>0</v>
      </c>
      <c r="O41">
        <f t="shared" si="10"/>
        <v>0</v>
      </c>
      <c r="P41">
        <f t="shared" si="11"/>
        <v>0</v>
      </c>
      <c r="Q41">
        <f t="shared" si="12"/>
        <v>0</v>
      </c>
      <c r="R41">
        <f t="shared" si="13"/>
        <v>0</v>
      </c>
      <c r="S41">
        <f t="shared" si="14"/>
        <v>0</v>
      </c>
      <c r="T41">
        <f t="shared" si="15"/>
        <v>0</v>
      </c>
      <c r="Z41">
        <v>14</v>
      </c>
      <c r="AA41">
        <v>4.5972352470617217</v>
      </c>
      <c r="AB41">
        <v>-7.2352470617218501E-3</v>
      </c>
      <c r="AK41">
        <v>6</v>
      </c>
      <c r="AL41">
        <v>4.4845000000000006</v>
      </c>
      <c r="AM41">
        <v>-0.14450000000000074</v>
      </c>
    </row>
    <row r="42" spans="1:39" x14ac:dyDescent="0.2">
      <c r="A42" s="7">
        <v>45047</v>
      </c>
      <c r="B42">
        <v>4.2699999999999996</v>
      </c>
      <c r="C42">
        <f t="shared" si="0"/>
        <v>2</v>
      </c>
      <c r="D42">
        <v>41</v>
      </c>
      <c r="E42">
        <f t="shared" si="1"/>
        <v>0</v>
      </c>
      <c r="F42">
        <f t="shared" si="2"/>
        <v>1</v>
      </c>
      <c r="G42">
        <f t="shared" si="3"/>
        <v>0</v>
      </c>
      <c r="H42">
        <f t="shared" si="4"/>
        <v>5</v>
      </c>
      <c r="I42">
        <v>41</v>
      </c>
      <c r="J42">
        <f t="shared" si="5"/>
        <v>0</v>
      </c>
      <c r="K42">
        <f t="shared" si="6"/>
        <v>0</v>
      </c>
      <c r="L42">
        <f t="shared" si="7"/>
        <v>0</v>
      </c>
      <c r="M42">
        <f t="shared" si="8"/>
        <v>0</v>
      </c>
      <c r="N42">
        <f t="shared" si="9"/>
        <v>1</v>
      </c>
      <c r="O42">
        <f t="shared" si="10"/>
        <v>0</v>
      </c>
      <c r="P42">
        <f t="shared" si="11"/>
        <v>0</v>
      </c>
      <c r="Q42">
        <f t="shared" si="12"/>
        <v>0</v>
      </c>
      <c r="R42">
        <f t="shared" si="13"/>
        <v>0</v>
      </c>
      <c r="S42">
        <f t="shared" si="14"/>
        <v>0</v>
      </c>
      <c r="T42">
        <f t="shared" si="15"/>
        <v>0</v>
      </c>
      <c r="Z42">
        <v>15</v>
      </c>
      <c r="AA42">
        <v>4.6005211986954668</v>
      </c>
      <c r="AB42">
        <v>0.21947880130453346</v>
      </c>
      <c r="AK42">
        <v>7</v>
      </c>
      <c r="AL42">
        <v>4.3595000000000015</v>
      </c>
      <c r="AM42">
        <v>-0.19950000000000134</v>
      </c>
    </row>
    <row r="43" spans="1:39" x14ac:dyDescent="0.2">
      <c r="A43" s="7">
        <v>45078</v>
      </c>
      <c r="B43">
        <v>4.83</v>
      </c>
      <c r="C43">
        <f t="shared" si="0"/>
        <v>2</v>
      </c>
      <c r="D43">
        <v>42</v>
      </c>
      <c r="E43">
        <f t="shared" si="1"/>
        <v>0</v>
      </c>
      <c r="F43">
        <f t="shared" si="2"/>
        <v>1</v>
      </c>
      <c r="G43">
        <f t="shared" si="3"/>
        <v>0</v>
      </c>
      <c r="H43">
        <f t="shared" si="4"/>
        <v>6</v>
      </c>
      <c r="I43">
        <v>42</v>
      </c>
      <c r="J43">
        <f t="shared" si="5"/>
        <v>0</v>
      </c>
      <c r="K43">
        <f t="shared" si="6"/>
        <v>0</v>
      </c>
      <c r="L43">
        <f t="shared" si="7"/>
        <v>0</v>
      </c>
      <c r="M43">
        <f t="shared" si="8"/>
        <v>0</v>
      </c>
      <c r="N43">
        <f t="shared" si="9"/>
        <v>0</v>
      </c>
      <c r="O43">
        <f t="shared" si="10"/>
        <v>1</v>
      </c>
      <c r="P43">
        <f t="shared" si="11"/>
        <v>0</v>
      </c>
      <c r="Q43">
        <f t="shared" si="12"/>
        <v>0</v>
      </c>
      <c r="R43">
        <f t="shared" si="13"/>
        <v>0</v>
      </c>
      <c r="S43">
        <f t="shared" si="14"/>
        <v>0</v>
      </c>
      <c r="T43">
        <f t="shared" si="15"/>
        <v>0</v>
      </c>
      <c r="Z43">
        <v>16</v>
      </c>
      <c r="AA43">
        <v>4.4478316718971165</v>
      </c>
      <c r="AB43">
        <v>-0.27783167189711655</v>
      </c>
      <c r="AK43">
        <v>8</v>
      </c>
      <c r="AL43">
        <v>4.1995000000000013</v>
      </c>
      <c r="AM43">
        <v>-0.19950000000000134</v>
      </c>
    </row>
    <row r="44" spans="1:39" x14ac:dyDescent="0.2">
      <c r="A44" s="7">
        <v>45108</v>
      </c>
      <c r="B44">
        <v>4.0999999999999996</v>
      </c>
      <c r="C44">
        <f t="shared" si="0"/>
        <v>3</v>
      </c>
      <c r="D44">
        <v>43</v>
      </c>
      <c r="E44">
        <f t="shared" si="1"/>
        <v>0</v>
      </c>
      <c r="F44">
        <f t="shared" si="2"/>
        <v>0</v>
      </c>
      <c r="G44">
        <f t="shared" si="3"/>
        <v>1</v>
      </c>
      <c r="H44">
        <f t="shared" si="4"/>
        <v>7</v>
      </c>
      <c r="I44">
        <v>43</v>
      </c>
      <c r="J44">
        <f t="shared" si="5"/>
        <v>0</v>
      </c>
      <c r="K44">
        <f t="shared" si="6"/>
        <v>0</v>
      </c>
      <c r="L44">
        <f t="shared" si="7"/>
        <v>0</v>
      </c>
      <c r="M44">
        <f t="shared" si="8"/>
        <v>0</v>
      </c>
      <c r="N44">
        <f t="shared" si="9"/>
        <v>0</v>
      </c>
      <c r="O44">
        <f t="shared" si="10"/>
        <v>0</v>
      </c>
      <c r="P44">
        <f t="shared" si="11"/>
        <v>1</v>
      </c>
      <c r="Q44">
        <f t="shared" si="12"/>
        <v>0</v>
      </c>
      <c r="R44">
        <f t="shared" si="13"/>
        <v>0</v>
      </c>
      <c r="S44">
        <f t="shared" si="14"/>
        <v>0</v>
      </c>
      <c r="T44">
        <f t="shared" si="15"/>
        <v>0</v>
      </c>
      <c r="Z44">
        <v>17</v>
      </c>
      <c r="AA44">
        <v>4.4511176235308616</v>
      </c>
      <c r="AB44">
        <v>3.8882376469138613E-2</v>
      </c>
      <c r="AK44">
        <v>9</v>
      </c>
      <c r="AL44">
        <v>4.447000000000001</v>
      </c>
      <c r="AM44">
        <v>3.2999999999999474E-2</v>
      </c>
    </row>
    <row r="45" spans="1:39" x14ac:dyDescent="0.2">
      <c r="A45" s="7">
        <v>45139</v>
      </c>
      <c r="B45">
        <v>4.29</v>
      </c>
      <c r="C45">
        <f t="shared" si="0"/>
        <v>3</v>
      </c>
      <c r="D45">
        <v>44</v>
      </c>
      <c r="E45">
        <f t="shared" si="1"/>
        <v>0</v>
      </c>
      <c r="F45">
        <f t="shared" si="2"/>
        <v>0</v>
      </c>
      <c r="G45">
        <f t="shared" si="3"/>
        <v>1</v>
      </c>
      <c r="H45">
        <f t="shared" si="4"/>
        <v>8</v>
      </c>
      <c r="I45">
        <v>44</v>
      </c>
      <c r="J45">
        <f t="shared" si="5"/>
        <v>0</v>
      </c>
      <c r="K45">
        <f t="shared" si="6"/>
        <v>0</v>
      </c>
      <c r="L45">
        <f t="shared" si="7"/>
        <v>0</v>
      </c>
      <c r="M45">
        <f t="shared" si="8"/>
        <v>0</v>
      </c>
      <c r="N45">
        <f t="shared" si="9"/>
        <v>0</v>
      </c>
      <c r="O45">
        <f t="shared" si="10"/>
        <v>0</v>
      </c>
      <c r="P45">
        <f t="shared" si="11"/>
        <v>0</v>
      </c>
      <c r="Q45">
        <f t="shared" si="12"/>
        <v>1</v>
      </c>
      <c r="R45">
        <f t="shared" si="13"/>
        <v>0</v>
      </c>
      <c r="S45">
        <f t="shared" si="14"/>
        <v>0</v>
      </c>
      <c r="T45">
        <f t="shared" si="15"/>
        <v>0</v>
      </c>
      <c r="Z45">
        <v>18</v>
      </c>
      <c r="AA45">
        <v>4.4544035751646076</v>
      </c>
      <c r="AB45">
        <v>0.13559642483539225</v>
      </c>
      <c r="AK45">
        <v>10</v>
      </c>
      <c r="AL45">
        <v>4.4495000000000005</v>
      </c>
      <c r="AM45">
        <v>0.23049999999999926</v>
      </c>
    </row>
    <row r="46" spans="1:39" x14ac:dyDescent="0.2">
      <c r="A46" s="7">
        <v>45170</v>
      </c>
      <c r="B46">
        <v>4.18</v>
      </c>
      <c r="C46">
        <f t="shared" si="0"/>
        <v>3</v>
      </c>
      <c r="D46">
        <v>45</v>
      </c>
      <c r="E46">
        <f t="shared" si="1"/>
        <v>0</v>
      </c>
      <c r="F46">
        <f t="shared" si="2"/>
        <v>0</v>
      </c>
      <c r="G46">
        <f t="shared" si="3"/>
        <v>1</v>
      </c>
      <c r="H46">
        <f t="shared" si="4"/>
        <v>9</v>
      </c>
      <c r="I46">
        <v>45</v>
      </c>
      <c r="J46">
        <f t="shared" si="5"/>
        <v>0</v>
      </c>
      <c r="K46">
        <f t="shared" si="6"/>
        <v>0</v>
      </c>
      <c r="L46">
        <f t="shared" si="7"/>
        <v>0</v>
      </c>
      <c r="M46">
        <f t="shared" si="8"/>
        <v>0</v>
      </c>
      <c r="N46">
        <f t="shared" si="9"/>
        <v>0</v>
      </c>
      <c r="O46">
        <f t="shared" si="10"/>
        <v>0</v>
      </c>
      <c r="P46">
        <f t="shared" si="11"/>
        <v>0</v>
      </c>
      <c r="Q46">
        <f t="shared" si="12"/>
        <v>0</v>
      </c>
      <c r="R46">
        <f t="shared" si="13"/>
        <v>1</v>
      </c>
      <c r="S46">
        <f t="shared" si="14"/>
        <v>0</v>
      </c>
      <c r="T46">
        <f t="shared" si="15"/>
        <v>0</v>
      </c>
      <c r="Z46">
        <v>19</v>
      </c>
      <c r="AA46">
        <v>4.3703316718971159</v>
      </c>
      <c r="AB46">
        <v>0.22966832810288373</v>
      </c>
      <c r="AK46">
        <v>11</v>
      </c>
      <c r="AL46">
        <v>4.6370000000000013</v>
      </c>
      <c r="AM46">
        <v>0.11299999999999866</v>
      </c>
    </row>
    <row r="47" spans="1:39" x14ac:dyDescent="0.2">
      <c r="A47" s="7">
        <v>45200</v>
      </c>
      <c r="B47">
        <v>4.47</v>
      </c>
      <c r="C47">
        <f t="shared" si="0"/>
        <v>4</v>
      </c>
      <c r="D47">
        <v>46</v>
      </c>
      <c r="E47">
        <f t="shared" si="1"/>
        <v>0</v>
      </c>
      <c r="F47">
        <f t="shared" si="2"/>
        <v>0</v>
      </c>
      <c r="G47">
        <f t="shared" si="3"/>
        <v>0</v>
      </c>
      <c r="H47">
        <f t="shared" si="4"/>
        <v>10</v>
      </c>
      <c r="I47">
        <v>46</v>
      </c>
      <c r="J47">
        <f t="shared" si="5"/>
        <v>0</v>
      </c>
      <c r="K47">
        <f t="shared" si="6"/>
        <v>0</v>
      </c>
      <c r="L47">
        <f t="shared" si="7"/>
        <v>0</v>
      </c>
      <c r="M47">
        <f t="shared" si="8"/>
        <v>0</v>
      </c>
      <c r="N47">
        <f t="shared" si="9"/>
        <v>0</v>
      </c>
      <c r="O47">
        <f t="shared" si="10"/>
        <v>0</v>
      </c>
      <c r="P47">
        <f t="shared" si="11"/>
        <v>0</v>
      </c>
      <c r="Q47">
        <f t="shared" si="12"/>
        <v>0</v>
      </c>
      <c r="R47">
        <f t="shared" si="13"/>
        <v>0</v>
      </c>
      <c r="S47">
        <f t="shared" si="14"/>
        <v>1</v>
      </c>
      <c r="T47">
        <f t="shared" si="15"/>
        <v>0</v>
      </c>
      <c r="Z47">
        <v>20</v>
      </c>
      <c r="AA47">
        <v>4.373617623530861</v>
      </c>
      <c r="AB47">
        <v>0.28638237646913911</v>
      </c>
      <c r="AK47">
        <v>12</v>
      </c>
      <c r="AL47">
        <v>4.6170000000000009</v>
      </c>
      <c r="AM47">
        <v>-0.13700000000000045</v>
      </c>
    </row>
    <row r="48" spans="1:39" x14ac:dyDescent="0.2">
      <c r="A48" s="7">
        <v>45231</v>
      </c>
      <c r="B48">
        <v>4.79</v>
      </c>
      <c r="C48">
        <f t="shared" si="0"/>
        <v>4</v>
      </c>
      <c r="D48">
        <v>47</v>
      </c>
      <c r="E48">
        <f t="shared" si="1"/>
        <v>0</v>
      </c>
      <c r="F48">
        <f t="shared" si="2"/>
        <v>0</v>
      </c>
      <c r="G48">
        <f t="shared" si="3"/>
        <v>0</v>
      </c>
      <c r="H48">
        <f t="shared" si="4"/>
        <v>11</v>
      </c>
      <c r="I48">
        <v>47</v>
      </c>
      <c r="J48">
        <f t="shared" si="5"/>
        <v>0</v>
      </c>
      <c r="K48">
        <f t="shared" si="6"/>
        <v>0</v>
      </c>
      <c r="L48">
        <f t="shared" si="7"/>
        <v>0</v>
      </c>
      <c r="M48">
        <f t="shared" si="8"/>
        <v>0</v>
      </c>
      <c r="N48">
        <f t="shared" si="9"/>
        <v>0</v>
      </c>
      <c r="O48">
        <f t="shared" si="10"/>
        <v>0</v>
      </c>
      <c r="P48">
        <f t="shared" si="11"/>
        <v>0</v>
      </c>
      <c r="Q48">
        <f t="shared" si="12"/>
        <v>0</v>
      </c>
      <c r="R48">
        <f t="shared" si="13"/>
        <v>0</v>
      </c>
      <c r="S48">
        <f t="shared" si="14"/>
        <v>0</v>
      </c>
      <c r="T48">
        <f t="shared" si="15"/>
        <v>1</v>
      </c>
      <c r="Z48">
        <v>21</v>
      </c>
      <c r="AA48">
        <v>4.376903575164607</v>
      </c>
      <c r="AB48">
        <v>0.30309642483539267</v>
      </c>
      <c r="AK48">
        <v>13</v>
      </c>
      <c r="AL48">
        <v>4.663333333333334</v>
      </c>
      <c r="AM48">
        <v>-0.13333333333333375</v>
      </c>
    </row>
    <row r="49" spans="1:39" x14ac:dyDescent="0.2">
      <c r="A49" s="7">
        <v>45261</v>
      </c>
      <c r="B49">
        <v>4.93</v>
      </c>
      <c r="C49">
        <f t="shared" si="0"/>
        <v>4</v>
      </c>
      <c r="D49">
        <v>48</v>
      </c>
      <c r="E49">
        <f t="shared" si="1"/>
        <v>0</v>
      </c>
      <c r="F49">
        <f t="shared" si="2"/>
        <v>0</v>
      </c>
      <c r="G49">
        <f t="shared" si="3"/>
        <v>0</v>
      </c>
      <c r="H49">
        <f t="shared" si="4"/>
        <v>12</v>
      </c>
      <c r="I49">
        <v>48</v>
      </c>
      <c r="J49">
        <f t="shared" si="5"/>
        <v>0</v>
      </c>
      <c r="K49">
        <f t="shared" si="6"/>
        <v>0</v>
      </c>
      <c r="L49">
        <f t="shared" si="7"/>
        <v>0</v>
      </c>
      <c r="M49">
        <f t="shared" si="8"/>
        <v>0</v>
      </c>
      <c r="N49">
        <f t="shared" si="9"/>
        <v>0</v>
      </c>
      <c r="O49">
        <f t="shared" si="10"/>
        <v>0</v>
      </c>
      <c r="P49">
        <f t="shared" si="11"/>
        <v>0</v>
      </c>
      <c r="Q49">
        <f t="shared" si="12"/>
        <v>0</v>
      </c>
      <c r="R49">
        <f t="shared" si="13"/>
        <v>0</v>
      </c>
      <c r="S49">
        <f t="shared" si="14"/>
        <v>0</v>
      </c>
      <c r="T49">
        <f t="shared" si="15"/>
        <v>0</v>
      </c>
      <c r="Z49">
        <v>22</v>
      </c>
      <c r="AA49">
        <v>4.6028316718971158</v>
      </c>
      <c r="AB49">
        <v>-0.41283167189711545</v>
      </c>
      <c r="AK49">
        <v>14</v>
      </c>
      <c r="AL49">
        <v>4.6133333333333342</v>
      </c>
      <c r="AM49">
        <v>-2.3333333333334316E-2</v>
      </c>
    </row>
    <row r="50" spans="1:39" x14ac:dyDescent="0.2">
      <c r="A50" s="7">
        <v>45292</v>
      </c>
      <c r="B50">
        <v>4.79</v>
      </c>
      <c r="C50">
        <f t="shared" si="0"/>
        <v>1</v>
      </c>
      <c r="D50">
        <v>49</v>
      </c>
      <c r="E50">
        <f t="shared" si="1"/>
        <v>1</v>
      </c>
      <c r="F50">
        <f t="shared" si="2"/>
        <v>0</v>
      </c>
      <c r="G50">
        <f t="shared" si="3"/>
        <v>0</v>
      </c>
      <c r="H50">
        <f t="shared" si="4"/>
        <v>1</v>
      </c>
      <c r="I50">
        <v>49</v>
      </c>
      <c r="J50">
        <f t="shared" si="5"/>
        <v>1</v>
      </c>
      <c r="K50">
        <f t="shared" si="6"/>
        <v>0</v>
      </c>
      <c r="L50">
        <f t="shared" si="7"/>
        <v>0</v>
      </c>
      <c r="M50">
        <f t="shared" si="8"/>
        <v>0</v>
      </c>
      <c r="N50">
        <f t="shared" si="9"/>
        <v>0</v>
      </c>
      <c r="O50">
        <f t="shared" si="10"/>
        <v>0</v>
      </c>
      <c r="P50">
        <f t="shared" si="11"/>
        <v>0</v>
      </c>
      <c r="Q50">
        <f t="shared" si="12"/>
        <v>0</v>
      </c>
      <c r="R50">
        <f t="shared" si="13"/>
        <v>0</v>
      </c>
      <c r="S50">
        <f t="shared" si="14"/>
        <v>0</v>
      </c>
      <c r="T50">
        <f t="shared" si="15"/>
        <v>0</v>
      </c>
      <c r="Z50">
        <v>23</v>
      </c>
      <c r="AA50">
        <v>4.6061176235308618</v>
      </c>
      <c r="AB50">
        <v>-0.29611762353086224</v>
      </c>
      <c r="AK50">
        <v>15</v>
      </c>
      <c r="AL50">
        <v>4.5173333333333341</v>
      </c>
      <c r="AM50">
        <v>0.3026666666666662</v>
      </c>
    </row>
    <row r="51" spans="1:39" x14ac:dyDescent="0.2">
      <c r="A51" s="7">
        <v>45323</v>
      </c>
      <c r="B51">
        <v>4.6100000000000003</v>
      </c>
      <c r="C51">
        <f t="shared" si="0"/>
        <v>1</v>
      </c>
      <c r="D51">
        <v>50</v>
      </c>
      <c r="E51">
        <f t="shared" si="1"/>
        <v>1</v>
      </c>
      <c r="F51">
        <f t="shared" si="2"/>
        <v>0</v>
      </c>
      <c r="G51">
        <f t="shared" si="3"/>
        <v>0</v>
      </c>
      <c r="H51">
        <f t="shared" si="4"/>
        <v>2</v>
      </c>
      <c r="I51">
        <v>50</v>
      </c>
      <c r="J51">
        <f t="shared" si="5"/>
        <v>0</v>
      </c>
      <c r="K51">
        <f t="shared" si="6"/>
        <v>1</v>
      </c>
      <c r="L51">
        <f t="shared" si="7"/>
        <v>0</v>
      </c>
      <c r="M51">
        <f t="shared" si="8"/>
        <v>0</v>
      </c>
      <c r="N51">
        <f t="shared" si="9"/>
        <v>0</v>
      </c>
      <c r="O51">
        <f t="shared" si="10"/>
        <v>0</v>
      </c>
      <c r="P51">
        <f t="shared" si="11"/>
        <v>0</v>
      </c>
      <c r="Q51">
        <f t="shared" si="12"/>
        <v>0</v>
      </c>
      <c r="R51">
        <f t="shared" si="13"/>
        <v>0</v>
      </c>
      <c r="S51">
        <f t="shared" si="14"/>
        <v>0</v>
      </c>
      <c r="T51">
        <f t="shared" si="15"/>
        <v>0</v>
      </c>
      <c r="Z51">
        <v>24</v>
      </c>
      <c r="AA51">
        <v>4.609403575164607</v>
      </c>
      <c r="AB51">
        <v>-0.14940357516460701</v>
      </c>
      <c r="AK51">
        <v>16</v>
      </c>
      <c r="AL51">
        <v>4.3956666666666679</v>
      </c>
      <c r="AM51">
        <v>-0.22566666666666801</v>
      </c>
    </row>
    <row r="52" spans="1:39" x14ac:dyDescent="0.2">
      <c r="A52" s="7">
        <v>45352</v>
      </c>
      <c r="B52">
        <v>4.41</v>
      </c>
      <c r="C52">
        <f t="shared" si="0"/>
        <v>1</v>
      </c>
      <c r="D52">
        <v>51</v>
      </c>
      <c r="E52">
        <f t="shared" si="1"/>
        <v>1</v>
      </c>
      <c r="F52">
        <f t="shared" si="2"/>
        <v>0</v>
      </c>
      <c r="G52">
        <f t="shared" si="3"/>
        <v>0</v>
      </c>
      <c r="H52">
        <f t="shared" si="4"/>
        <v>3</v>
      </c>
      <c r="I52">
        <v>51</v>
      </c>
      <c r="J52">
        <f t="shared" si="5"/>
        <v>0</v>
      </c>
      <c r="K52">
        <f t="shared" si="6"/>
        <v>0</v>
      </c>
      <c r="L52">
        <f t="shared" si="7"/>
        <v>1</v>
      </c>
      <c r="M52">
        <f t="shared" si="8"/>
        <v>0</v>
      </c>
      <c r="N52">
        <f t="shared" si="9"/>
        <v>0</v>
      </c>
      <c r="O52">
        <f t="shared" si="10"/>
        <v>0</v>
      </c>
      <c r="P52">
        <f t="shared" si="11"/>
        <v>0</v>
      </c>
      <c r="Q52">
        <f t="shared" si="12"/>
        <v>0</v>
      </c>
      <c r="R52">
        <f t="shared" si="13"/>
        <v>0</v>
      </c>
      <c r="S52">
        <f t="shared" si="14"/>
        <v>0</v>
      </c>
      <c r="T52">
        <f t="shared" si="15"/>
        <v>0</v>
      </c>
      <c r="Z52">
        <v>25</v>
      </c>
      <c r="AA52">
        <v>4.6333807150329234</v>
      </c>
      <c r="AB52">
        <v>0.12661928496707642</v>
      </c>
      <c r="AK52">
        <v>17</v>
      </c>
      <c r="AL52">
        <v>4.435666666666668</v>
      </c>
      <c r="AM52">
        <v>5.4333333333332234E-2</v>
      </c>
    </row>
    <row r="53" spans="1:39" x14ac:dyDescent="0.2">
      <c r="A53" s="13"/>
      <c r="B53" s="1"/>
      <c r="Z53">
        <v>26</v>
      </c>
      <c r="AA53">
        <v>4.6366666666666685</v>
      </c>
      <c r="AB53">
        <v>-0.17666666666666853</v>
      </c>
      <c r="AK53">
        <v>18</v>
      </c>
      <c r="AL53">
        <v>4.5231666666666674</v>
      </c>
      <c r="AM53">
        <v>6.6833333333332412E-2</v>
      </c>
    </row>
    <row r="54" spans="1:39" x14ac:dyDescent="0.2">
      <c r="A54" s="8"/>
      <c r="B54" s="1"/>
      <c r="Z54">
        <v>27</v>
      </c>
      <c r="AA54">
        <v>4.6399526183004145</v>
      </c>
      <c r="AB54">
        <v>9.0047381699585927E-2</v>
      </c>
      <c r="AK54">
        <v>19</v>
      </c>
      <c r="AL54">
        <v>4.3981666666666674</v>
      </c>
      <c r="AM54">
        <v>0.2018333333333322</v>
      </c>
    </row>
    <row r="55" spans="1:39" x14ac:dyDescent="0.2">
      <c r="A55" s="8"/>
      <c r="B55" s="1"/>
      <c r="Z55">
        <v>28</v>
      </c>
      <c r="AA55">
        <v>4.4872630915020633</v>
      </c>
      <c r="AB55">
        <v>-0.16726309150206298</v>
      </c>
      <c r="AK55">
        <v>20</v>
      </c>
      <c r="AL55">
        <v>4.2381666666666682</v>
      </c>
      <c r="AM55">
        <v>0.42183333333333195</v>
      </c>
    </row>
    <row r="56" spans="1:39" x14ac:dyDescent="0.2">
      <c r="Z56">
        <v>29</v>
      </c>
      <c r="AA56">
        <v>4.4905490431358093</v>
      </c>
      <c r="AB56">
        <v>0.15945095686419108</v>
      </c>
      <c r="AK56">
        <v>21</v>
      </c>
      <c r="AL56">
        <v>4.4856666666666678</v>
      </c>
      <c r="AM56">
        <v>0.19433333333333191</v>
      </c>
    </row>
    <row r="57" spans="1:39" x14ac:dyDescent="0.2">
      <c r="Z57">
        <v>30</v>
      </c>
      <c r="AA57">
        <v>4.4938349947695553</v>
      </c>
      <c r="AB57">
        <v>-8.3834994769555138E-2</v>
      </c>
      <c r="AK57">
        <v>22</v>
      </c>
      <c r="AL57">
        <v>4.4881666666666673</v>
      </c>
      <c r="AM57">
        <v>-0.29816666666666691</v>
      </c>
    </row>
    <row r="58" spans="1:39" x14ac:dyDescent="0.2">
      <c r="Z58">
        <v>31</v>
      </c>
      <c r="AA58">
        <v>4.4097630915020627</v>
      </c>
      <c r="AB58">
        <v>0.40023690849793692</v>
      </c>
      <c r="AK58">
        <v>23</v>
      </c>
      <c r="AL58">
        <v>4.6756666666666673</v>
      </c>
      <c r="AM58">
        <v>-0.36566666666666769</v>
      </c>
    </row>
    <row r="59" spans="1:39" x14ac:dyDescent="0.2">
      <c r="Z59">
        <v>32</v>
      </c>
      <c r="AA59">
        <v>4.4130490431358087</v>
      </c>
      <c r="AB59">
        <v>-0.33304904313580863</v>
      </c>
      <c r="AK59">
        <v>24</v>
      </c>
      <c r="AL59">
        <v>4.6556666666666677</v>
      </c>
      <c r="AM59">
        <v>-0.19566666666666777</v>
      </c>
    </row>
    <row r="60" spans="1:39" x14ac:dyDescent="0.2">
      <c r="Z60">
        <v>33</v>
      </c>
      <c r="AA60">
        <v>4.4163349947695538</v>
      </c>
      <c r="AB60">
        <v>0.26366500523044589</v>
      </c>
      <c r="AK60">
        <v>25</v>
      </c>
      <c r="AL60">
        <v>4.7020000000000008</v>
      </c>
      <c r="AM60">
        <v>5.7999999999998941E-2</v>
      </c>
    </row>
    <row r="61" spans="1:39" x14ac:dyDescent="0.2">
      <c r="Z61">
        <v>34</v>
      </c>
      <c r="AA61">
        <v>4.6422630915020635</v>
      </c>
      <c r="AB61">
        <v>4.7736908497936881E-2</v>
      </c>
      <c r="AK61">
        <v>26</v>
      </c>
      <c r="AL61">
        <v>4.652000000000001</v>
      </c>
      <c r="AM61">
        <v>-0.19200000000000106</v>
      </c>
    </row>
    <row r="62" spans="1:39" x14ac:dyDescent="0.2">
      <c r="Z62">
        <v>35</v>
      </c>
      <c r="AA62">
        <v>4.6455490431358086</v>
      </c>
      <c r="AB62">
        <v>0.28445095686419108</v>
      </c>
      <c r="AK62">
        <v>27</v>
      </c>
      <c r="AL62">
        <v>4.5560000000000009</v>
      </c>
      <c r="AM62">
        <v>0.17399999999999949</v>
      </c>
    </row>
    <row r="63" spans="1:39" x14ac:dyDescent="0.2">
      <c r="Z63">
        <v>36</v>
      </c>
      <c r="AA63">
        <v>4.6488349947695546</v>
      </c>
      <c r="AB63">
        <v>0.18116500523044543</v>
      </c>
      <c r="AK63">
        <v>28</v>
      </c>
      <c r="AL63">
        <v>4.4343333333333339</v>
      </c>
      <c r="AM63">
        <v>-0.11433333333333362</v>
      </c>
    </row>
    <row r="64" spans="1:39" x14ac:dyDescent="0.2">
      <c r="Z64">
        <v>37</v>
      </c>
      <c r="AA64">
        <v>4.6728121346378702</v>
      </c>
      <c r="AB64">
        <v>-3.2812134637870471E-2</v>
      </c>
      <c r="AK64">
        <v>29</v>
      </c>
      <c r="AL64">
        <v>4.4743333333333348</v>
      </c>
      <c r="AM64">
        <v>0.17566666666666553</v>
      </c>
    </row>
    <row r="65" spans="26:39" x14ac:dyDescent="0.2">
      <c r="Z65">
        <v>38</v>
      </c>
      <c r="AA65">
        <v>4.6760980862716162</v>
      </c>
      <c r="AB65">
        <v>0.22390191372838419</v>
      </c>
      <c r="AK65">
        <v>30</v>
      </c>
      <c r="AL65">
        <v>4.5618333333333343</v>
      </c>
      <c r="AM65">
        <v>-0.15183333333333415</v>
      </c>
    </row>
    <row r="66" spans="26:39" x14ac:dyDescent="0.2">
      <c r="Z66">
        <v>39</v>
      </c>
      <c r="AA66">
        <v>4.6793840379053622</v>
      </c>
      <c r="AB66">
        <v>5.0615962094638256E-2</v>
      </c>
      <c r="AK66">
        <v>31</v>
      </c>
      <c r="AL66">
        <v>4.4368333333333343</v>
      </c>
      <c r="AM66">
        <v>0.37316666666666531</v>
      </c>
    </row>
    <row r="67" spans="26:39" x14ac:dyDescent="0.2">
      <c r="Z67">
        <v>40</v>
      </c>
      <c r="AA67">
        <v>4.5266945111070109</v>
      </c>
      <c r="AB67">
        <v>0.27330548889298889</v>
      </c>
      <c r="AK67">
        <v>32</v>
      </c>
      <c r="AL67">
        <v>4.2768333333333342</v>
      </c>
      <c r="AM67">
        <v>-0.19683333333333408</v>
      </c>
    </row>
    <row r="68" spans="26:39" x14ac:dyDescent="0.2">
      <c r="Z68">
        <v>41</v>
      </c>
      <c r="AA68">
        <v>4.5299804627407569</v>
      </c>
      <c r="AB68">
        <v>-0.25998046274075737</v>
      </c>
      <c r="AK68">
        <v>33</v>
      </c>
      <c r="AL68">
        <v>4.5243333333333347</v>
      </c>
      <c r="AM68">
        <v>0.15566666666666507</v>
      </c>
    </row>
    <row r="69" spans="26:39" x14ac:dyDescent="0.2">
      <c r="Z69">
        <v>42</v>
      </c>
      <c r="AA69">
        <v>4.5332664143745021</v>
      </c>
      <c r="AB69">
        <v>0.29673358562549801</v>
      </c>
      <c r="AK69">
        <v>34</v>
      </c>
      <c r="AL69">
        <v>4.5268333333333342</v>
      </c>
      <c r="AM69">
        <v>0.16316666666666624</v>
      </c>
    </row>
    <row r="70" spans="26:39" x14ac:dyDescent="0.2">
      <c r="Z70">
        <v>43</v>
      </c>
      <c r="AA70">
        <v>4.4491945111070104</v>
      </c>
      <c r="AB70">
        <v>-0.34919451110701072</v>
      </c>
      <c r="AK70">
        <v>35</v>
      </c>
      <c r="AL70">
        <v>4.7143333333333342</v>
      </c>
      <c r="AM70">
        <v>0.21566666666666556</v>
      </c>
    </row>
    <row r="71" spans="26:39" x14ac:dyDescent="0.2">
      <c r="Z71">
        <v>44</v>
      </c>
      <c r="AA71">
        <v>4.4524804627407555</v>
      </c>
      <c r="AB71">
        <v>-0.16248046274075545</v>
      </c>
      <c r="AK71">
        <v>36</v>
      </c>
      <c r="AL71">
        <v>4.6943333333333337</v>
      </c>
      <c r="AM71">
        <v>0.13566666666666638</v>
      </c>
    </row>
    <row r="72" spans="26:39" x14ac:dyDescent="0.2">
      <c r="Z72">
        <v>45</v>
      </c>
      <c r="AA72">
        <v>4.4557664143745015</v>
      </c>
      <c r="AB72">
        <v>-0.27576641437450178</v>
      </c>
      <c r="AK72">
        <v>37</v>
      </c>
      <c r="AL72">
        <v>4.7406666666666677</v>
      </c>
      <c r="AM72">
        <v>-0.10066666666666801</v>
      </c>
    </row>
    <row r="73" spans="26:39" x14ac:dyDescent="0.2">
      <c r="Z73">
        <v>46</v>
      </c>
      <c r="AA73">
        <v>4.6816945111070103</v>
      </c>
      <c r="AB73">
        <v>-0.21169451110701054</v>
      </c>
      <c r="AK73">
        <v>38</v>
      </c>
      <c r="AL73">
        <v>4.6906666666666679</v>
      </c>
      <c r="AM73">
        <v>0.20933333333333248</v>
      </c>
    </row>
    <row r="74" spans="26:39" x14ac:dyDescent="0.2">
      <c r="Z74">
        <v>47</v>
      </c>
      <c r="AA74">
        <v>4.6849804627407563</v>
      </c>
      <c r="AB74">
        <v>0.10501953725924373</v>
      </c>
      <c r="AK74">
        <v>39</v>
      </c>
      <c r="AL74">
        <v>4.5946666666666678</v>
      </c>
      <c r="AM74">
        <v>0.13533333333333264</v>
      </c>
    </row>
    <row r="75" spans="26:39" x14ac:dyDescent="0.2">
      <c r="Z75">
        <v>48</v>
      </c>
      <c r="AA75">
        <v>4.6882664143745023</v>
      </c>
      <c r="AB75">
        <v>0.2417335856254974</v>
      </c>
      <c r="AK75">
        <v>40</v>
      </c>
      <c r="AL75">
        <v>4.4730000000000008</v>
      </c>
      <c r="AM75">
        <v>0.32699999999999907</v>
      </c>
    </row>
    <row r="76" spans="26:39" x14ac:dyDescent="0.2">
      <c r="Z76">
        <v>49</v>
      </c>
      <c r="AA76">
        <v>4.7122435542428178</v>
      </c>
      <c r="AB76">
        <v>7.7756445757182213E-2</v>
      </c>
      <c r="AK76">
        <v>41</v>
      </c>
      <c r="AL76">
        <v>4.5130000000000008</v>
      </c>
      <c r="AM76">
        <v>-0.24300000000000122</v>
      </c>
    </row>
    <row r="77" spans="26:39" x14ac:dyDescent="0.2">
      <c r="Z77">
        <v>50</v>
      </c>
      <c r="AA77">
        <v>4.7155295058765638</v>
      </c>
      <c r="AB77">
        <v>-0.10552950587656351</v>
      </c>
      <c r="AK77">
        <v>42</v>
      </c>
      <c r="AL77">
        <v>4.6005000000000011</v>
      </c>
      <c r="AM77">
        <v>0.22949999999999893</v>
      </c>
    </row>
    <row r="78" spans="26:39" ht="16" thickBot="1" x14ac:dyDescent="0.25">
      <c r="Z78" s="2">
        <v>51</v>
      </c>
      <c r="AA78" s="2">
        <v>4.718815457510309</v>
      </c>
      <c r="AB78" s="2">
        <v>-0.30881545751030881</v>
      </c>
      <c r="AK78">
        <v>43</v>
      </c>
      <c r="AL78">
        <v>4.4755000000000011</v>
      </c>
      <c r="AM78">
        <v>-0.3755000000000015</v>
      </c>
    </row>
    <row r="79" spans="26:39" x14ac:dyDescent="0.2">
      <c r="AK79">
        <v>44</v>
      </c>
      <c r="AL79">
        <v>4.315500000000001</v>
      </c>
      <c r="AM79">
        <v>-2.5500000000000966E-2</v>
      </c>
    </row>
    <row r="80" spans="26:39" x14ac:dyDescent="0.2">
      <c r="AK80">
        <v>45</v>
      </c>
      <c r="AL80">
        <v>4.5630000000000006</v>
      </c>
      <c r="AM80">
        <v>-0.3830000000000009</v>
      </c>
    </row>
    <row r="81" spans="37:39" x14ac:dyDescent="0.2">
      <c r="AK81">
        <v>46</v>
      </c>
      <c r="AL81">
        <v>4.565500000000001</v>
      </c>
      <c r="AM81">
        <v>-9.5500000000001251E-2</v>
      </c>
    </row>
    <row r="82" spans="37:39" x14ac:dyDescent="0.2">
      <c r="AK82">
        <v>47</v>
      </c>
      <c r="AL82">
        <v>4.753000000000001</v>
      </c>
      <c r="AM82">
        <v>3.6999999999999034E-2</v>
      </c>
    </row>
    <row r="83" spans="37:39" x14ac:dyDescent="0.2">
      <c r="AK83">
        <v>48</v>
      </c>
      <c r="AL83">
        <v>4.7330000000000005</v>
      </c>
      <c r="AM83">
        <v>0.19699999999999918</v>
      </c>
    </row>
    <row r="84" spans="37:39" x14ac:dyDescent="0.2">
      <c r="AK84">
        <v>49</v>
      </c>
      <c r="AL84">
        <v>4.7793333333333337</v>
      </c>
      <c r="AM84">
        <v>1.066666666666638E-2</v>
      </c>
    </row>
    <row r="85" spans="37:39" x14ac:dyDescent="0.2">
      <c r="AK85">
        <v>50</v>
      </c>
      <c r="AL85">
        <v>4.7293333333333338</v>
      </c>
      <c r="AM85">
        <v>-0.11933333333333351</v>
      </c>
    </row>
    <row r="86" spans="37:39" ht="16" thickBot="1" x14ac:dyDescent="0.25">
      <c r="AK86" s="2">
        <v>51</v>
      </c>
      <c r="AL86" s="2">
        <v>4.6333333333333346</v>
      </c>
      <c r="AM86" s="2">
        <v>-0.22333333333333449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1EF6C-CB7A-4CB2-A63E-3E9115CC338C}">
  <sheetPr codeName="Sheet5"/>
  <dimension ref="A14:C14"/>
  <sheetViews>
    <sheetView tabSelected="1" workbookViewId="0">
      <selection activeCell="P14" sqref="P14"/>
    </sheetView>
  </sheetViews>
  <sheetFormatPr baseColWidth="10" defaultColWidth="8.83203125" defaultRowHeight="15" x14ac:dyDescent="0.2"/>
  <cols>
    <col min="1" max="1" width="9.1640625" style="16"/>
    <col min="2" max="16384" width="8.83203125" style="17"/>
  </cols>
  <sheetData>
    <row r="14" spans="3:3" x14ac:dyDescent="0.2">
      <c r="C14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Forecast">
                <anchor moveWithCells="1" sizeWithCells="1">
                  <from>
                    <xdr:col>5</xdr:col>
                    <xdr:colOff>419100</xdr:colOff>
                    <xdr:row>15</xdr:row>
                    <xdr:rowOff>177800</xdr:rowOff>
                  </from>
                  <to>
                    <xdr:col>8</xdr:col>
                    <xdr:colOff>190500</xdr:colOff>
                    <xdr:row>18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ndoptimization1">
                <anchor moveWithCells="1" sizeWithCells="1">
                  <from>
                    <xdr:col>4</xdr:col>
                    <xdr:colOff>558800</xdr:colOff>
                    <xdr:row>21</xdr:row>
                    <xdr:rowOff>38100</xdr:rowOff>
                  </from>
                  <to>
                    <xdr:col>7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AUX_Production_Units</vt:lpstr>
      <vt:lpstr>AUX_Demand</vt:lpstr>
      <vt:lpstr>AUX_ProductionCost</vt:lpstr>
      <vt:lpstr>AUX_HoldingCost</vt:lpstr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mkarimi</dc:creator>
  <cp:lastModifiedBy>Riyasha Baidya</cp:lastModifiedBy>
  <dcterms:created xsi:type="dcterms:W3CDTF">2024-01-29T10:07:50Z</dcterms:created>
  <dcterms:modified xsi:type="dcterms:W3CDTF">2024-04-25T20:25:12Z</dcterms:modified>
</cp:coreProperties>
</file>